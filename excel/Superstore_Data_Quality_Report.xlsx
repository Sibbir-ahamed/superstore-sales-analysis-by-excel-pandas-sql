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superStores\excel\"/>
    </mc:Choice>
  </mc:AlternateContent>
  <xr:revisionPtr revIDLastSave="0" documentId="8_{BA6088B0-FDC9-4F3C-BF31-F972A6E57DFC}" xr6:coauthVersionLast="47" xr6:coauthVersionMax="47" xr10:uidLastSave="{00000000-0000-0000-0000-000000000000}"/>
  <bookViews>
    <workbookView xWindow="-120" yWindow="-120" windowWidth="29040" windowHeight="15720" tabRatio="830" xr2:uid="{00000000-000D-0000-FFFF-FFFF00000000}"/>
  </bookViews>
  <sheets>
    <sheet name="superstore_report" sheetId="2" r:id="rId1"/>
    <sheet name="DatasetSize" sheetId="3" r:id="rId2"/>
    <sheet name="Missing value" sheetId="4" r:id="rId3"/>
    <sheet name="Duplicate" sheetId="5" r:id="rId4"/>
    <sheet name="SampleSuperstore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4" l="1"/>
  <c r="C4" i="4"/>
  <c r="D4" i="4"/>
  <c r="E4" i="4"/>
  <c r="F4" i="4"/>
  <c r="G4" i="4"/>
  <c r="H4" i="4"/>
  <c r="I4" i="4"/>
  <c r="J4" i="4"/>
  <c r="K4" i="4"/>
  <c r="L4" i="4"/>
  <c r="M4" i="4"/>
  <c r="A4" i="4"/>
  <c r="B10" i="3"/>
  <c r="B8" i="3"/>
  <c r="B9" i="3"/>
  <c r="B7" i="3"/>
  <c r="B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216384-76E9-4F75-83CF-8275CF309E1E}" keepAlive="1" name="Query - Table46" description="Connection to the 'Table46' query in the workbook." type="5" refreshedVersion="0" background="1">
    <dbPr connection="Provider=Microsoft.Mashup.OleDb.1;Data Source=$Workbook$;Location=Table46;Extended Properties=&quot;&quot;" command="SELECT * FROM [Table46]"/>
  </connection>
</connections>
</file>

<file path=xl/sharedStrings.xml><?xml version="1.0" encoding="utf-8"?>
<sst xmlns="http://schemas.openxmlformats.org/spreadsheetml/2006/main" count="79986" uniqueCount="666">
  <si>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</si>
  <si>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</si>
  <si>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</si>
  <si>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</si>
  <si>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</si>
  <si>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</si>
  <si>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</si>
  <si>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</si>
  <si>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</si>
  <si>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</si>
  <si>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</si>
  <si>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</si>
  <si>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</si>
  <si>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</si>
  <si>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</si>
  <si>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</si>
  <si>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</si>
  <si>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</si>
  <si>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</si>
  <si>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</si>
  <si>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</si>
  <si>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</si>
  <si>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</si>
  <si>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</si>
  <si>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</si>
  <si>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</si>
  <si>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</si>
  <si>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</si>
  <si>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</si>
  <si>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</si>
  <si>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</si>
  <si>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</si>
  <si>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</si>
  <si>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</si>
  <si>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</si>
  <si>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</si>
  <si>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</si>
  <si>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</si>
  <si>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</si>
  <si>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</si>
  <si>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</si>
  <si>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</si>
  <si>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</si>
  <si>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</si>
  <si>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</si>
  <si>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</si>
  <si>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</si>
  <si>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</si>
  <si>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</si>
  <si>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</si>
  <si>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</si>
  <si>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</si>
  <si>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</si>
  <si>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</si>
  <si>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</si>
  <si>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</si>
  <si>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</si>
  <si>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</si>
  <si>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</si>
  <si>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</si>
  <si>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</si>
  <si>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</si>
  <si>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</si>
  <si>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</si>
  <si>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</si>
  <si>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</si>
  <si>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</si>
  <si>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</si>
  <si>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</si>
  <si>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</si>
  <si>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</si>
  <si>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</si>
  <si>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</si>
  <si>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</si>
  <si>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</si>
  <si>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</si>
  <si>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</si>
  <si>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</si>
  <si>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</si>
  <si>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</si>
  <si>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</si>
  <si>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</si>
  <si>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</si>
  <si>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</si>
  <si>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</si>
  <si>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</si>
  <si>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</si>
  <si>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</si>
  <si>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</si>
  <si>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</si>
  <si>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</si>
  <si>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</si>
  <si>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</si>
  <si>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</si>
  <si>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</si>
  <si>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</si>
  <si>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</si>
  <si>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</si>
  <si>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</si>
  <si>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</si>
  <si>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</si>
  <si>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</si>
  <si>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</si>
  <si>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</si>
  <si>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</si>
  <si>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</si>
  <si>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</si>
  <si>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</si>
  <si>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</si>
  <si>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</si>
  <si>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</si>
  <si>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</si>
  <si>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</si>
  <si>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</si>
  <si>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</si>
  <si>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</si>
  <si>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</si>
  <si>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</si>
  <si>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</si>
  <si>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</si>
  <si>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</si>
  <si>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</si>
  <si>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</si>
  <si>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</si>
  <si>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</si>
  <si>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</si>
  <si>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</si>
  <si>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</si>
  <si>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</si>
  <si>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</si>
  <si>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</si>
  <si>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</si>
  <si>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</si>
  <si>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</si>
  <si>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</si>
  <si>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</si>
  <si>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</si>
  <si>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</si>
  <si>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</si>
  <si>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</si>
  <si>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</si>
  <si>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</si>
  <si>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</si>
  <si>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</si>
  <si>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</si>
  <si>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</si>
  <si>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</si>
  <si>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</si>
  <si>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</si>
  <si>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</si>
  <si>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</si>
  <si>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</si>
  <si>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</si>
  <si>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</si>
  <si>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</si>
  <si>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</si>
  <si>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</si>
  <si>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</si>
  <si>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</si>
  <si>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</si>
  <si>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</si>
  <si>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</si>
  <si>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</si>
  <si>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</si>
  <si>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</si>
  <si>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</si>
  <si>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</si>
  <si>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</si>
  <si>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</si>
  <si>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</si>
  <si>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</si>
  <si>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</si>
  <si>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</si>
  <si>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</si>
  <si>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</si>
  <si>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</si>
  <si>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</si>
  <si>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</si>
  <si>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</si>
  <si>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</si>
  <si>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</si>
  <si>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</si>
  <si>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</si>
  <si>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</si>
  <si>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</si>
  <si>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</si>
  <si>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</si>
  <si>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</si>
  <si>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</si>
  <si>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</si>
  <si>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</si>
  <si>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</si>
  <si>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</si>
  <si>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</si>
  <si>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</si>
  <si>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</si>
  <si>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</si>
  <si>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</si>
  <si>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</si>
  <si>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</si>
  <si>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</si>
  <si>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</si>
  <si>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</si>
  <si>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</si>
  <si>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</si>
  <si>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</si>
  <si>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</si>
  <si>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</si>
  <si>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</si>
  <si>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</si>
  <si>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</si>
  <si>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</si>
  <si>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</si>
  <si>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</si>
  <si>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</si>
  <si>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</si>
  <si>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</si>
  <si>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</si>
  <si>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</si>
  <si>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</si>
  <si>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</si>
  <si>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</si>
  <si>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</si>
  <si>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</si>
  <si>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</si>
  <si>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</si>
  <si>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</si>
  <si>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</si>
  <si>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</si>
  <si>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</si>
  <si>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</si>
  <si>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</si>
  <si>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</si>
  <si>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</si>
  <si>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</si>
  <si>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</si>
  <si>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</si>
  <si>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</si>
  <si>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</si>
  <si>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</si>
  <si>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</si>
  <si>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</si>
  <si>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</si>
  <si>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</si>
  <si>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</si>
  <si>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</si>
  <si>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</si>
  <si>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</si>
  <si>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</si>
  <si>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</si>
  <si>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</si>
  <si>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</si>
  <si>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</si>
  <si>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</si>
  <si>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</si>
  <si>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</si>
  <si>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</si>
  <si>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</si>
  <si>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</si>
  <si>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</si>
  <si>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</si>
  <si>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</si>
  <si>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</si>
  <si>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</si>
  <si>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</si>
  <si>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</si>
  <si>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</si>
  <si>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</si>
  <si>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</si>
  <si>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</si>
  <si>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</si>
  <si>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</si>
  <si>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</si>
  <si>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</si>
  <si>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</si>
  <si>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</si>
  <si>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</si>
  <si>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</si>
  <si>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</si>
  <si>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</si>
  <si>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</si>
  <si>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</si>
  <si>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</si>
  <si>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</si>
  <si>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</si>
  <si>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</si>
  <si>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</si>
  <si>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</si>
  <si>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</si>
  <si>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</si>
  <si>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</si>
  <si>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</si>
  <si>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</si>
  <si>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</si>
  <si>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</si>
  <si>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</si>
  <si>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</si>
  <si>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</si>
  <si>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</si>
  <si>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</si>
  <si>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</si>
  <si>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</si>
  <si>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</si>
  <si>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</si>
  <si>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</si>
  <si>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</si>
  <si>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</si>
  <si>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</si>
  <si>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</si>
  <si>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</si>
  <si>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</si>
  <si>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</si>
  <si>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</si>
  <si>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</si>
  <si>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</si>
  <si>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</si>
  <si>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</si>
  <si>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</si>
  <si>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</si>
  <si>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</si>
  <si>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</si>
  <si>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</si>
  <si>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</si>
  <si>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</si>
  <si>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</si>
  <si>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</si>
  <si>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</si>
  <si>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</si>
  <si>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</si>
  <si>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</si>
  <si>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</si>
  <si>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</si>
  <si>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</si>
  <si>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</si>
  <si>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</si>
  <si>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</si>
  <si>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</si>
  <si>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</si>
  <si>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</si>
  <si>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</si>
  <si>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</si>
  <si>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</si>
  <si>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</si>
  <si>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</si>
  <si>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</si>
  <si>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</si>
  <si>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</si>
  <si>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</si>
  <si>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</si>
  <si>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</si>
  <si>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</si>
  <si>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</si>
  <si>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</si>
  <si>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</si>
  <si>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</si>
  <si>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</si>
  <si>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</si>
  <si>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</si>
  <si>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</si>
  <si>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</si>
  <si>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</si>
  <si>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</si>
  <si>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</si>
  <si>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</si>
  <si>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</si>
  <si>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</si>
  <si>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</si>
  <si>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</si>
  <si>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</si>
  <si>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</si>
  <si>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</si>
  <si>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</si>
  <si>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</si>
  <si>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</si>
  <si>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</si>
  <si>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</si>
  <si>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</si>
  <si>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</si>
  <si>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</si>
  <si>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</si>
  <si>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</si>
  <si>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</si>
  <si>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</si>
  <si>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</si>
  <si>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</si>
  <si>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</si>
  <si>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</si>
  <si>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</si>
  <si>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</si>
  <si>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</si>
  <si>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</si>
  <si>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</si>
  <si>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</si>
  <si>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</si>
  <si>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</si>
  <si>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</si>
  <si>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</si>
  <si>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</si>
  <si>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</si>
  <si>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</si>
  <si>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</si>
  <si>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</si>
  <si>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</si>
  <si>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</si>
  <si>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</si>
  <si>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</si>
  <si>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</si>
  <si>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</si>
  <si>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</si>
  <si>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</si>
  <si>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</si>
  <si>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</si>
  <si>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</si>
  <si>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</si>
  <si>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</si>
  <si>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</si>
  <si>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</si>
  <si>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</si>
  <si>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</si>
  <si>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</si>
  <si>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</si>
  <si>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</si>
  <si>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</si>
  <si>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</si>
  <si>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</si>
  <si>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</si>
  <si>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</si>
  <si>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</si>
  <si>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</si>
  <si>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</si>
  <si>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</si>
  <si>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</si>
  <si>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</si>
  <si>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</si>
  <si>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</si>
  <si>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</si>
  <si>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</si>
  <si>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</si>
  <si>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</si>
  <si>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</si>
  <si>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</si>
  <si>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</si>
  <si>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</si>
  <si>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</si>
  <si>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</si>
  <si>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</si>
  <si>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</si>
  <si>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</si>
  <si>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</si>
  <si>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</si>
  <si>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</si>
  <si>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</si>
  <si>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</si>
  <si>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</si>
  <si>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</si>
  <si>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</si>
  <si>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</si>
  <si>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</si>
  <si>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</si>
  <si>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</si>
  <si>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</si>
  <si>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</si>
  <si>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</si>
  <si>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</si>
  <si>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</si>
  <si>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</si>
  <si>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</si>
  <si>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</si>
  <si>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</si>
  <si>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</si>
  <si>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</si>
  <si>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</si>
  <si>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</si>
  <si>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</si>
  <si>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</si>
  <si>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</si>
  <si>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</si>
  <si>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</si>
  <si>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</si>
  <si>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</si>
  <si>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</si>
  <si>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</si>
  <si>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</si>
  <si>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</si>
  <si>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</si>
  <si>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</si>
  <si>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</si>
  <si>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</si>
  <si>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</si>
  <si>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</si>
  <si>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</si>
  <si>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</si>
  <si>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</si>
  <si>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</si>
  <si>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</si>
  <si>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</si>
  <si>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</si>
  <si>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</si>
  <si>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</si>
  <si>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</si>
  <si>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</si>
  <si>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</si>
  <si>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</si>
  <si>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</si>
  <si>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</si>
  <si>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</si>
  <si>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</si>
  <si>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</si>
  <si>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</si>
  <si>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</si>
  <si>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</si>
  <si>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</si>
  <si>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</si>
  <si>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</si>
  <si>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</si>
  <si>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</si>
  <si>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</si>
  <si>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</si>
  <si>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</si>
  <si>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</si>
  <si>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</si>
  <si>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</si>
  <si>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</si>
  <si>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</si>
  <si>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</si>
  <si>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</si>
  <si>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</si>
  <si>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</si>
  <si>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</si>
  <si>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</si>
  <si>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</si>
  <si>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</si>
  <si>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</si>
  <si>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</si>
  <si>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</si>
  <si>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</si>
  <si>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</si>
  <si>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</si>
  <si>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</si>
  <si>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</si>
  <si>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</si>
  <si>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</si>
  <si>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</si>
  <si>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</si>
  <si>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</si>
  <si>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</si>
  <si>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</si>
  <si>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</si>
  <si>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</si>
  <si>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</si>
  <si>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</si>
  <si>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</si>
  <si>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</si>
  <si>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</si>
  <si>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</si>
  <si>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</si>
  <si>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</si>
  <si>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</si>
  <si>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</si>
  <si>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</si>
  <si>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</si>
  <si>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</si>
  <si>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</si>
  <si>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</si>
  <si>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</si>
  <si>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</si>
  <si>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</si>
  <si>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</si>
  <si>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</si>
  <si>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</si>
  <si>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</si>
  <si>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</si>
  <si>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</si>
  <si>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</si>
  <si>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</si>
  <si>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</si>
  <si>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</si>
  <si>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</si>
  <si>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</si>
  <si>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</si>
  <si>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</si>
  <si>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</si>
  <si>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</si>
  <si>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</si>
  <si>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</si>
  <si>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</si>
  <si>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</si>
  <si>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</si>
  <si>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</si>
  <si>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</si>
  <si>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</si>
  <si>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</si>
  <si>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</si>
  <si>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</si>
  <si>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</si>
  <si>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</si>
  <si>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</si>
  <si>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</si>
  <si>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</si>
  <si>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</si>
  <si>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</si>
  <si>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</si>
  <si>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</si>
  <si>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</si>
  <si>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</si>
  <si>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</si>
  <si>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</si>
  <si>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</si>
  <si>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</si>
  <si>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</si>
  <si>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</si>
  <si>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</si>
  <si>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</si>
  <si>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</si>
  <si>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</si>
  <si>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</si>
  <si>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</si>
  <si>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</si>
  <si>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</si>
  <si>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</si>
  <si>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</si>
  <si>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</si>
  <si>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</si>
  <si>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</si>
  <si>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None</t>
  </si>
  <si>
    <t>SUPERSTORE — DATA QUALITY REPORT</t>
  </si>
  <si>
    <t>SampleSuperstore.xlsx</t>
  </si>
  <si>
    <t>Project</t>
  </si>
  <si>
    <t>Superstore Sales Analysis (Excel)</t>
  </si>
  <si>
    <t>Analyst</t>
  </si>
  <si>
    <t>Report Date</t>
  </si>
  <si>
    <t>(date)</t>
  </si>
  <si>
    <t>Data Source</t>
  </si>
  <si>
    <t>Md Sibbir Ahamed</t>
  </si>
  <si>
    <t>Sheet</t>
  </si>
  <si>
    <t>Purpose</t>
  </si>
  <si>
    <t>Write your own Excel formulas using the hints and enter results in "Result"</t>
  </si>
  <si>
    <t>Metric</t>
  </si>
  <si>
    <t>Result</t>
  </si>
  <si>
    <t>Total rows (excluding header)</t>
  </si>
  <si>
    <t>Total columns</t>
  </si>
  <si>
    <t>Sales: Min / Max / Avg</t>
  </si>
  <si>
    <t>Quantity: Min / Max / Avg</t>
  </si>
  <si>
    <t>Discount: Min / Max / Avg</t>
  </si>
  <si>
    <t>Profit: Min / Max / Avg</t>
  </si>
  <si>
    <t>1. Dataset Size</t>
  </si>
  <si>
    <t>2. Check for Missing Values</t>
  </si>
  <si>
    <t>3. Check for Duplicate Records</t>
  </si>
  <si>
    <t>4. Check Data Types</t>
  </si>
  <si>
    <t>5. Data Quality Report</t>
  </si>
  <si>
    <t xml:space="preserve"> Dataset rows, columns</t>
  </si>
  <si>
    <t xml:space="preserve"> Blank / Unique </t>
  </si>
  <si>
    <t xml:space="preserve"> Finding Dubplicate</t>
  </si>
  <si>
    <t xml:space="preserve"> Dataset Types</t>
  </si>
  <si>
    <t xml:space="preserve"> Final Report</t>
  </si>
  <si>
    <t>Note</t>
  </si>
  <si>
    <t>1. Overall checks</t>
  </si>
  <si>
    <t>Total Missing cells</t>
  </si>
  <si>
    <t>Exact duplicate rows</t>
  </si>
  <si>
    <t>Missing value Finding</t>
  </si>
  <si>
    <t>Formula : =COUNTBLANK(Table1[[#Headers],[Ship Mode]])</t>
  </si>
  <si>
    <t>Note: This Data for example</t>
  </si>
  <si>
    <t>Remove Duplicate : seletec table - Data - Remove Duplicate - Ok</t>
  </si>
  <si>
    <t>ID</t>
  </si>
  <si>
    <t>Origan Data</t>
  </si>
  <si>
    <t>After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</si>
</sst>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6"/>
      <color rgb="FF1F4E78"/>
      <name val="Arial"/>
      <family val="2"/>
    </font>
    <font>
      <i/>
      <sz val="10"/>
      <color rgb="FF666666"/>
      <name val="Arial"/>
      <family val="2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92D05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2CC"/>
        <bgColor rgb="FFEDEDED"/>
      </patternFill>
    </fill>
    <fill>
      <patternFill patternType="solid">
        <fgColor rgb="FF1F4E78"/>
        <bgColor rgb="FF00336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top"/>
    </xf>
    <xf numFmtId="0" fontId="20" fillId="0" borderId="0" xfId="0" applyFont="1"/>
    <xf numFmtId="0" fontId="22" fillId="36" borderId="0" xfId="0" applyFont="1" applyFill="1"/>
    <xf numFmtId="0" fontId="23" fillId="0" borderId="0" xfId="0" applyFont="1"/>
    <xf numFmtId="0" fontId="24" fillId="0" borderId="0" xfId="0" applyFont="1"/>
    <xf numFmtId="0" fontId="21" fillId="35" borderId="13" xfId="0" applyFont="1" applyFill="1" applyBorder="1"/>
    <xf numFmtId="0" fontId="21" fillId="35" borderId="0" xfId="0" applyFont="1" applyFill="1"/>
    <xf numFmtId="0" fontId="21" fillId="0" borderId="0" xfId="0" applyFont="1" applyAlignment="1">
      <alignment vertical="top" wrapText="1"/>
    </xf>
    <xf numFmtId="0" fontId="22" fillId="36" borderId="14" xfId="0" applyFont="1" applyFill="1" applyBorder="1" applyAlignment="1">
      <alignment horizontal="center" vertical="center" wrapText="1"/>
    </xf>
    <xf numFmtId="0" fontId="21" fillId="0" borderId="14" xfId="0" applyFont="1" applyBorder="1" applyAlignment="1">
      <alignment vertical="top" wrapText="1"/>
    </xf>
    <xf numFmtId="0" fontId="13" fillId="0" borderId="11" xfId="0" applyFont="1" applyBorder="1"/>
    <xf numFmtId="0" fontId="13" fillId="0" borderId="12" xfId="0" applyFont="1" applyBorder="1"/>
    <xf numFmtId="0" fontId="18" fillId="0" borderId="0" xfId="0" applyFont="1"/>
    <xf numFmtId="0" fontId="26" fillId="0" borderId="0" xfId="0" applyFont="1"/>
    <xf numFmtId="0" fontId="0" fillId="0" borderId="11" xfId="0" applyBorder="1"/>
    <xf numFmtId="0" fontId="0" fillId="0" borderId="12" xfId="0" applyBorder="1"/>
    <xf numFmtId="0" fontId="0" fillId="37" borderId="11" xfId="0" applyFill="1" applyBorder="1"/>
    <xf numFmtId="0" fontId="0" fillId="37" borderId="12" xfId="0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13" fillId="33" borderId="10" xfId="0" applyFont="1" applyFill="1" applyBorder="1"/>
    <xf numFmtId="0" fontId="0" fillId="37" borderId="10" xfId="0" applyFill="1" applyBorder="1"/>
    <xf numFmtId="0" fontId="0" fillId="0" borderId="10" xfId="0" applyBorder="1"/>
    <xf numFmtId="0" fontId="28" fillId="0" borderId="0" xfId="0" applyFont="1"/>
    <xf numFmtId="0" fontId="27" fillId="0" borderId="0" xfId="0" applyFont="1"/>
    <xf numFmtId="0" fontId="25" fillId="0" borderId="0" xfId="0" applyFont="1"/>
    <xf numFmtId="0" fontId="13" fillId="33" borderId="16" xfId="0" applyFont="1" applyFill="1" applyBorder="1" applyAlignment="1">
      <alignment horizontal="center" vertical="center"/>
    </xf>
    <xf numFmtId="0" fontId="13" fillId="33" borderId="17" xfId="0" applyFont="1" applyFill="1" applyBorder="1" applyAlignment="1">
      <alignment horizontal="center" vertical="center"/>
    </xf>
    <xf numFmtId="0" fontId="13" fillId="33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3" fillId="0" borderId="22" xfId="0" applyFont="1" applyBorder="1"/>
    <xf numFmtId="0" fontId="13" fillId="0" borderId="15" xfId="0" applyFont="1" applyBorder="1"/>
    <xf numFmtId="0" fontId="0" fillId="37" borderId="22" xfId="0" applyFill="1" applyBorder="1"/>
    <xf numFmtId="0" fontId="0" fillId="37" borderId="15" xfId="0" applyFill="1" applyBorder="1"/>
    <xf numFmtId="0" fontId="0" fillId="37" borderId="23" xfId="0" applyFill="1" applyBorder="1"/>
    <xf numFmtId="0" fontId="16" fillId="0" borderId="0" xfId="0" applyFont="1"/>
    <xf numFmtId="0" fontId="0" fillId="37" borderId="0" xfId="0" applyFill="1"/>
    <xf numFmtId="0" fontId="14" fillId="0" borderId="0" xfId="0" applyFont="1"/>
    <xf numFmtId="0" fontId="0" fillId="38" borderId="0" xfId="0" applyFill="1"/>
    <xf numFmtId="0" fontId="29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2" fillId="36" borderId="0" xfId="0" applyFont="1" applyFill="1" applyAlignment="1">
      <alignment horizontal="center"/>
    </xf>
    <xf numFmtId="0" fontId="19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medium">
          <color indexed="64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medium">
          <color indexed="64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F4C554-60E5-45E8-9B66-5F6BCEDCC19F}" name="Table3" displayName="Table3" ref="A3:M4" totalsRowShown="0" headerRowDxfId="47" dataDxfId="45" headerRowBorderDxfId="46" tableBorderDxfId="44" totalsRowBorderDxfId="43">
  <tableColumns count="13">
    <tableColumn id="1" xr3:uid="{00CD2371-E5D6-4B39-9F16-52D9463FDDEE}" name="Ship Mode" dataDxfId="42">
      <calculatedColumnFormula>COUNTBLANK(Table1[Ship Mode])</calculatedColumnFormula>
    </tableColumn>
    <tableColumn id="2" xr3:uid="{01EA544B-9BAB-4207-B981-62057DE1B290}" name="Segment" dataDxfId="41">
      <calculatedColumnFormula>COUNTBLANK(Table1[Segment])</calculatedColumnFormula>
    </tableColumn>
    <tableColumn id="3" xr3:uid="{537AA737-F3BD-4FCD-B5F2-F628BA67D1E8}" name="Country" dataDxfId="40">
      <calculatedColumnFormula>COUNTBLANK(Table1[Country])</calculatedColumnFormula>
    </tableColumn>
    <tableColumn id="4" xr3:uid="{1AEA1623-313C-491E-9428-044F2AC97822}" name="City" dataDxfId="39">
      <calculatedColumnFormula>COUNTBLANK(Table1[City])</calculatedColumnFormula>
    </tableColumn>
    <tableColumn id="5" xr3:uid="{83B45E45-5A28-47FE-AADC-4B5F415E26A0}" name="State" dataDxfId="38">
      <calculatedColumnFormula>COUNTBLANK(Table1[State])</calculatedColumnFormula>
    </tableColumn>
    <tableColumn id="6" xr3:uid="{264A3D8A-00E5-4892-9242-6013F27D97AB}" name="Postal Code" dataDxfId="37">
      <calculatedColumnFormula>COUNTBLANK(Table1[Postal Code])</calculatedColumnFormula>
    </tableColumn>
    <tableColumn id="7" xr3:uid="{5B69CB11-8B3B-49E1-A6F8-76903ECB199D}" name="Region" dataDxfId="36">
      <calculatedColumnFormula>COUNTBLANK(Table1[Region])</calculatedColumnFormula>
    </tableColumn>
    <tableColumn id="8" xr3:uid="{B6EDFFF9-9F79-466F-8170-40C4CD585425}" name="Category" dataDxfId="35">
      <calculatedColumnFormula>COUNTBLANK(Table1[Category])</calculatedColumnFormula>
    </tableColumn>
    <tableColumn id="9" xr3:uid="{48EE80DB-0C3C-4700-95BB-7D443FDCA35F}" name="Sub-Category" dataDxfId="34">
      <calculatedColumnFormula>COUNTBLANK(Table1[Sub-Category])</calculatedColumnFormula>
    </tableColumn>
    <tableColumn id="10" xr3:uid="{A38565DA-7DA6-4FB3-9AC1-53D61D1D7DE1}" name="Sales" dataDxfId="33">
      <calculatedColumnFormula>COUNTBLANK(Table1[Sales])</calculatedColumnFormula>
    </tableColumn>
    <tableColumn id="11" xr3:uid="{6879312E-0347-4F16-B0B8-6F637393C3C2}" name="Quantity" dataDxfId="32">
      <calculatedColumnFormula>COUNTBLANK(Table1[Quantity])</calculatedColumnFormula>
    </tableColumn>
    <tableColumn id="12" xr3:uid="{2D6C17B5-854F-4BDB-BFA2-4C3B20F9BCD1}" name="Discount" dataDxfId="31">
      <calculatedColumnFormula>COUNTBLANK(Table1[Discount])</calculatedColumnFormula>
    </tableColumn>
    <tableColumn id="13" xr3:uid="{115A7D1A-2A8A-4BAC-BC1F-AC72B6D8AD2B}" name="Profit" dataDxfId="30">
      <calculatedColumnFormula>COUNTBLANK(Table1[Profit])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CF4752-364B-40F0-B115-20A242AE40F6}" name="Table4" displayName="Table4" ref="A3:N12" totalsRowShown="0" headerRowDxfId="27" dataDxfId="26">
  <tableColumns count="14">
    <tableColumn id="1" xr3:uid="{3DBC47DA-CA98-4DE8-829C-E1ADB5EAFFE3}" name="ID"/>
    <tableColumn id="2" xr3:uid="{257A9D8F-3636-47D1-B9C5-9A61FE4EAA53}" name="Ship Mode"/>
    <tableColumn id="3" xr3:uid="{D2992902-7724-457E-91C4-086BFBC846DC}" name="Segment" dataDxfId="25"/>
    <tableColumn id="4" xr3:uid="{AB5ADB37-AD3E-42BD-A9B8-0A5020F5A5B4}" name="Country" dataDxfId="24"/>
    <tableColumn id="5" xr3:uid="{360CE839-60BE-429B-89A0-E96CA3FDE545}" name="City" dataDxfId="23"/>
    <tableColumn id="6" xr3:uid="{4CC4A052-BC1D-483D-AEF8-8FC0769E118D}" name="State" dataDxfId="22"/>
    <tableColumn id="7" xr3:uid="{ACB0A7E5-D835-41AD-AF47-F9EC41C64316}" name="Postal Code" dataDxfId="21"/>
    <tableColumn id="8" xr3:uid="{FD89F08E-ADFA-4DBA-9D6F-39F01A505523}" name="Region" dataDxfId="20"/>
    <tableColumn id="9" xr3:uid="{996DE616-8238-4F8D-A846-0F2D5DD40847}" name="Category" dataDxfId="19"/>
    <tableColumn id="10" xr3:uid="{5A0BF4B8-0332-463B-B12C-6E8B8F013132}" name="Sub-Category" dataDxfId="18"/>
    <tableColumn id="11" xr3:uid="{B8F97871-6D2B-44E6-8728-95445D141B42}" name="Sales" dataDxfId="17"/>
    <tableColumn id="12" xr3:uid="{1C037521-453C-4EB9-BF8D-202CD164C6B3}" name="Quantity" dataDxfId="16"/>
    <tableColumn id="13" xr3:uid="{10E935E4-4F9C-4D6D-9732-2F9EE2D5BE53}" name="Discount" dataDxfId="15"/>
    <tableColumn id="14" xr3:uid="{7A7A5917-0926-43A0-B34B-899ED0715740}" name="Profit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6D69DF-CBE2-434A-8C88-2C162D3F8B2B}" name="Table46" displayName="Table46" ref="A16:N21" totalsRowShown="0" headerRowDxfId="13" dataDxfId="12">
  <tableColumns count="14">
    <tableColumn id="1" xr3:uid="{69AC5488-A715-4B2F-9D7B-9F8009A49119}" name="ID"/>
    <tableColumn id="2" xr3:uid="{09AA5B8F-F13A-4EE1-91D0-525DC4572DB7}" name="Ship Mode"/>
    <tableColumn id="3" xr3:uid="{D8A7AA49-EAF4-4E40-92F1-698C28DBE7D6}" name="Segment" dataDxfId="11"/>
    <tableColumn id="4" xr3:uid="{D06E4705-64DC-4E14-9910-E998EEE50006}" name="Country" dataDxfId="10"/>
    <tableColumn id="5" xr3:uid="{03E3B71F-09E8-4A06-B1C0-3760E6F2E343}" name="City" dataDxfId="9"/>
    <tableColumn id="6" xr3:uid="{0CB0FD90-17BF-4F60-90D5-97A87F8A017F}" name="State" dataDxfId="8"/>
    <tableColumn id="7" xr3:uid="{2500CA10-75AB-49C7-A3DA-D153E66C27B0}" name="Postal Code" dataDxfId="7"/>
    <tableColumn id="8" xr3:uid="{771881AF-C5D3-4ADE-95F5-E11B4D7E5F2D}" name="Region" dataDxfId="6"/>
    <tableColumn id="9" xr3:uid="{5DEDB9C4-3AF4-4AB9-871F-FEE858467A58}" name="Category" dataDxfId="5"/>
    <tableColumn id="10" xr3:uid="{CAC42EF6-79ED-48B4-8257-3B33315161F9}" name="Sub-Category" dataDxfId="4"/>
    <tableColumn id="11" xr3:uid="{105FCA65-523F-481F-84AE-0C54D86DE3B7}" name="Sales" dataDxfId="3"/>
    <tableColumn id="12" xr3:uid="{BA94A676-2A3D-4521-A9E3-CAA87D01B22E}" name="Quantity" dataDxfId="2"/>
    <tableColumn id="13" xr3:uid="{C50CD2CD-9729-4591-864A-04E54B71BBFE}" name="Discount" dataDxfId="1"/>
    <tableColumn id="14" xr3:uid="{E292E4FA-E2C7-4D44-AC76-1D403F52EAD8}" name="Profit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2EF9E3-5D28-4320-BCB9-72DA41A27798}" name="Table1" displayName="Table1" ref="A1:M9978" totalsRowShown="0">
  <tableColumns count="13">
    <tableColumn id="1" xr3:uid="{08E06ED9-8C43-4DAE-A5F2-0EC3695C450F}" name="Ship Mode"/>
    <tableColumn id="2" xr3:uid="{E3C18FFE-66B5-4F0B-9583-261841BBF16F}" name="Segment"/>
    <tableColumn id="3" xr3:uid="{4582FA7B-E9A3-44B1-9F1A-BCA6BF4F0B01}" name="Country"/>
    <tableColumn id="4" xr3:uid="{621FF0AB-C212-4AB3-8E42-5E90660BAE6D}" name="City"/>
    <tableColumn id="5" xr3:uid="{2F28792B-8745-460F-8829-33F83638FFD8}" name="State"/>
    <tableColumn id="6" xr3:uid="{EE128A3D-0629-4323-B8EC-A1630C3B1306}" name="Postal Code"/>
    <tableColumn id="7" xr3:uid="{B9F64CFC-F276-48B7-A37D-9D1290BCF438}" name="Region"/>
    <tableColumn id="8" xr3:uid="{EF2D1F1B-3511-428F-A74D-F4CB0E266920}" name="Category"/>
    <tableColumn id="9" xr3:uid="{66C1692A-E5BA-413E-A36D-34384CDC3A52}" name="Sub-Category"/>
    <tableColumn id="10" xr3:uid="{6DE6DE68-405D-4274-9D1E-AD1AD31C55DC}" name="Sales"/>
    <tableColumn id="11" xr3:uid="{4366FA41-6716-4AF2-BF7A-0E039AF675F1}" name="Quantity"/>
    <tableColumn id="12" xr3:uid="{F453AD7F-08DE-45B7-95D8-658CE01B15AE}" name="Discount"/>
    <tableColumn id="13" xr3:uid="{0BB3F8BB-81A7-4D81-9E72-37D4033C388F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2C84-1B22-42D0-A387-167B82915012}">
  <dimension ref="A1:M17"/>
  <sheetViews>
    <sheetView tabSelected="1" workbookViewId="0">
      <selection activeCell="I21" sqref="I21"/>
    </sheetView>
  </sheetViews>
  <sheetFormatPr defaultRowHeight="15" x14ac:dyDescent="0.25"/>
  <cols>
    <col min="1" max="1" width="20" customWidth="1"/>
  </cols>
  <sheetData>
    <row r="1" spans="1:13" x14ac:dyDescent="0.25">
      <c r="A1" s="46" t="s">
        <v>625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3" x14ac:dyDescent="0.25">
      <c r="A3" s="2" t="s">
        <v>627</v>
      </c>
      <c r="B3" s="6" t="s">
        <v>628</v>
      </c>
      <c r="C3" s="6"/>
      <c r="D3" s="6"/>
      <c r="E3" s="6"/>
      <c r="F3" s="2"/>
      <c r="G3" s="1"/>
      <c r="H3" s="1"/>
      <c r="I3" s="1"/>
      <c r="J3" s="1"/>
      <c r="K3" s="1"/>
      <c r="L3" s="1"/>
      <c r="M3" s="1"/>
    </row>
    <row r="4" spans="1:13" x14ac:dyDescent="0.25">
      <c r="A4" s="2" t="s">
        <v>629</v>
      </c>
      <c r="B4" s="7" t="s">
        <v>633</v>
      </c>
      <c r="C4" s="7"/>
      <c r="D4" s="7"/>
      <c r="E4" s="7"/>
      <c r="F4" s="2"/>
      <c r="G4" s="1"/>
      <c r="H4" s="1"/>
      <c r="I4" s="1"/>
      <c r="J4" s="1"/>
      <c r="K4" s="1"/>
      <c r="L4" s="1"/>
      <c r="M4" s="1"/>
    </row>
    <row r="5" spans="1:13" x14ac:dyDescent="0.25">
      <c r="A5" s="2" t="s">
        <v>630</v>
      </c>
      <c r="B5" s="7" t="s">
        <v>631</v>
      </c>
      <c r="C5" s="7"/>
      <c r="D5" s="7"/>
      <c r="E5" s="7"/>
      <c r="F5" s="2"/>
    </row>
    <row r="6" spans="1:13" x14ac:dyDescent="0.25">
      <c r="A6" s="2" t="s">
        <v>632</v>
      </c>
      <c r="B6" s="7" t="s">
        <v>626</v>
      </c>
      <c r="C6" s="7"/>
      <c r="D6" s="7"/>
      <c r="E6" s="7"/>
      <c r="F6" s="2"/>
    </row>
    <row r="7" spans="1:13" x14ac:dyDescent="0.25">
      <c r="A7" s="2"/>
      <c r="B7" s="2"/>
      <c r="C7" s="2"/>
      <c r="D7" s="2"/>
      <c r="E7" s="2"/>
      <c r="F7" s="2"/>
    </row>
    <row r="8" spans="1:13" x14ac:dyDescent="0.25">
      <c r="A8" s="2"/>
      <c r="B8" s="2"/>
      <c r="C8" s="2"/>
      <c r="D8" s="2"/>
      <c r="E8" s="2"/>
      <c r="F8" s="2"/>
    </row>
    <row r="11" spans="1:13" x14ac:dyDescent="0.25">
      <c r="A11" s="3" t="s">
        <v>634</v>
      </c>
      <c r="B11" s="45" t="s">
        <v>635</v>
      </c>
      <c r="C11" s="45"/>
      <c r="D11" s="45"/>
      <c r="E11" s="45"/>
      <c r="F11" s="45"/>
      <c r="G11" s="45"/>
    </row>
    <row r="12" spans="1:13" x14ac:dyDescent="0.25">
      <c r="A12" s="43" t="s">
        <v>645</v>
      </c>
      <c r="B12" s="43"/>
      <c r="C12" s="44" t="s">
        <v>650</v>
      </c>
      <c r="D12" s="44"/>
      <c r="E12" s="44"/>
      <c r="F12" s="44"/>
      <c r="G12" s="44"/>
    </row>
    <row r="13" spans="1:13" x14ac:dyDescent="0.25">
      <c r="A13" s="43" t="s">
        <v>646</v>
      </c>
      <c r="B13" s="43"/>
      <c r="C13" s="44" t="s">
        <v>651</v>
      </c>
      <c r="D13" s="44"/>
      <c r="E13" s="44"/>
      <c r="F13" s="44"/>
      <c r="G13" s="44"/>
    </row>
    <row r="14" spans="1:13" x14ac:dyDescent="0.25">
      <c r="A14" s="43" t="s">
        <v>647</v>
      </c>
      <c r="B14" s="43"/>
      <c r="C14" s="44" t="s">
        <v>652</v>
      </c>
      <c r="D14" s="44"/>
      <c r="E14" s="44"/>
      <c r="F14" s="44"/>
      <c r="G14" s="44"/>
    </row>
    <row r="15" spans="1:13" x14ac:dyDescent="0.25">
      <c r="A15" s="43" t="s">
        <v>648</v>
      </c>
      <c r="B15" s="43"/>
      <c r="C15" s="44" t="s">
        <v>653</v>
      </c>
      <c r="D15" s="44"/>
      <c r="E15" s="44"/>
      <c r="F15" s="44"/>
      <c r="G15" s="44"/>
    </row>
    <row r="16" spans="1:13" x14ac:dyDescent="0.25">
      <c r="A16" s="43" t="s">
        <v>649</v>
      </c>
      <c r="B16" s="43"/>
      <c r="C16" s="44" t="s">
        <v>654</v>
      </c>
      <c r="D16" s="44"/>
      <c r="E16" s="44"/>
      <c r="F16" s="44"/>
      <c r="G16" s="44"/>
    </row>
    <row r="17" spans="1:1" x14ac:dyDescent="0.25">
      <c r="A17" s="2"/>
    </row>
  </sheetData>
  <mergeCells count="12">
    <mergeCell ref="B11:G11"/>
    <mergeCell ref="A1:M2"/>
    <mergeCell ref="A13:B13"/>
    <mergeCell ref="A14:B14"/>
    <mergeCell ref="A15:B15"/>
    <mergeCell ref="A16:B16"/>
    <mergeCell ref="C12:G12"/>
    <mergeCell ref="C13:G13"/>
    <mergeCell ref="C14:G14"/>
    <mergeCell ref="C15:G15"/>
    <mergeCell ref="C16:G16"/>
    <mergeCell ref="A12:B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E9A5-B423-4644-A3B0-BCDC9AEADDB9}">
  <dimension ref="A1:C15"/>
  <sheetViews>
    <sheetView zoomScaleNormal="100" workbookViewId="0">
      <selection activeCell="B11" sqref="B11"/>
    </sheetView>
  </sheetViews>
  <sheetFormatPr defaultRowHeight="15" x14ac:dyDescent="0.25"/>
  <cols>
    <col min="1" max="1" width="35.140625" customWidth="1"/>
    <col min="2" max="2" width="42.140625" bestFit="1" customWidth="1"/>
    <col min="3" max="3" width="21.5703125" customWidth="1"/>
  </cols>
  <sheetData>
    <row r="1" spans="1:3" ht="20.25" x14ac:dyDescent="0.3">
      <c r="A1" s="4" t="s">
        <v>656</v>
      </c>
    </row>
    <row r="2" spans="1:3" x14ac:dyDescent="0.25">
      <c r="A2" s="5" t="s">
        <v>636</v>
      </c>
    </row>
    <row r="4" spans="1:3" ht="19.5" customHeight="1" x14ac:dyDescent="0.25">
      <c r="A4" s="9" t="s">
        <v>637</v>
      </c>
      <c r="B4" s="9" t="s">
        <v>638</v>
      </c>
      <c r="C4" s="9" t="s">
        <v>655</v>
      </c>
    </row>
    <row r="5" spans="1:3" x14ac:dyDescent="0.25">
      <c r="A5" s="10" t="s">
        <v>639</v>
      </c>
      <c r="B5" s="10">
        <f>ROWS(Table1[[#All],[Country]])-1</f>
        <v>9977</v>
      </c>
      <c r="C5" s="10"/>
    </row>
    <row r="6" spans="1:3" x14ac:dyDescent="0.25">
      <c r="A6" s="10" t="s">
        <v>640</v>
      </c>
      <c r="B6" s="10">
        <v>13</v>
      </c>
      <c r="C6" s="10"/>
    </row>
    <row r="7" spans="1:3" x14ac:dyDescent="0.25">
      <c r="A7" s="10" t="s">
        <v>641</v>
      </c>
      <c r="B7" s="10" t="str">
        <f>"Min: "&amp;TEXT(MIN(Table1[Sales]),"#,##0.00")&amp;" | Max: "&amp;TEXT(MAX(Table1[Sales]),"#,##0.00")&amp;" | Avg: "&amp;TEXT(AVERAGE(Table1[Sales]),"#,##0.00")</f>
        <v>Min: 0.44 | Max: 22,638.48 | Avg: 230.15</v>
      </c>
      <c r="C7" s="10"/>
    </row>
    <row r="8" spans="1:3" x14ac:dyDescent="0.25">
      <c r="A8" s="10" t="s">
        <v>642</v>
      </c>
      <c r="B8" s="10" t="str">
        <f>"Min: "&amp;MIN(Table1[Quantity])&amp;" | Max: "&amp;MAX(Table1[Quantity])&amp;" | Avg: "&amp;ROUND(AVERAGE(Table1[Quantity]),2)</f>
        <v>Min: 1 | Max: 14 | Avg: 3.79</v>
      </c>
      <c r="C8" s="10"/>
    </row>
    <row r="9" spans="1:3" x14ac:dyDescent="0.25">
      <c r="A9" s="10" t="s">
        <v>643</v>
      </c>
      <c r="B9" s="10" t="str">
        <f>"Min: "&amp;MIN(Table1[Discount])&amp;" | Max: "&amp;MAX(Table1[Discount])&amp;" | Avg: "&amp;ROUND(AVERAGE(Table1[Discount]),2)</f>
        <v>Min: 0 | Max: 0.8 | Avg: 0.16</v>
      </c>
      <c r="C9" s="10"/>
    </row>
    <row r="10" spans="1:3" x14ac:dyDescent="0.25">
      <c r="A10" s="10" t="s">
        <v>644</v>
      </c>
      <c r="B10" s="10" t="str">
        <f>"Min: "&amp;TEXT(MIN(Table1[Profit]),"#,##0.00")&amp;" | Max: "&amp;TEXT(MAX(Table1[Profit]),"#,##0.00")&amp;" | Avg: "&amp;TEXT(AVERAGE(Table1[Profit]),"#,##0.00")</f>
        <v>Min: -6,599.98 | Max: 8,399.98 | Avg: 28.69</v>
      </c>
      <c r="C10" s="10"/>
    </row>
    <row r="11" spans="1:3" ht="15.75" customHeight="1" x14ac:dyDescent="0.25">
      <c r="A11" s="10" t="s">
        <v>657</v>
      </c>
      <c r="B11" s="10">
        <v>47</v>
      </c>
      <c r="C11" s="10"/>
    </row>
    <row r="12" spans="1:3" x14ac:dyDescent="0.25">
      <c r="A12" s="10" t="s">
        <v>658</v>
      </c>
      <c r="B12" s="10">
        <v>17</v>
      </c>
      <c r="C12" s="10"/>
    </row>
    <row r="13" spans="1:3" x14ac:dyDescent="0.25">
      <c r="A13" s="8"/>
      <c r="B13" s="8"/>
      <c r="C13" s="8"/>
    </row>
    <row r="14" spans="1:3" x14ac:dyDescent="0.25">
      <c r="A14" s="8"/>
      <c r="B14" s="8"/>
      <c r="C14" s="8"/>
    </row>
    <row r="15" spans="1:3" x14ac:dyDescent="0.25">
      <c r="A15" s="8"/>
      <c r="B15" s="8"/>
      <c r="C1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F408-F3B7-4DA7-960D-4ECD3A2E0540}">
  <dimension ref="A1:M15"/>
  <sheetViews>
    <sheetView topLeftCell="D1" workbookViewId="0">
      <selection activeCell="B13" sqref="B13"/>
    </sheetView>
  </sheetViews>
  <sheetFormatPr defaultRowHeight="15" x14ac:dyDescent="0.25"/>
  <cols>
    <col min="1" max="1" width="14.7109375" bestFit="1" customWidth="1"/>
    <col min="2" max="2" width="17.85546875" customWidth="1"/>
    <col min="3" max="3" width="16.85546875" customWidth="1"/>
    <col min="4" max="4" width="10.140625" customWidth="1"/>
    <col min="5" max="5" width="13.28515625" customWidth="1"/>
    <col min="6" max="6" width="15.5703125" customWidth="1"/>
    <col min="7" max="7" width="13.140625" customWidth="1"/>
    <col min="8" max="8" width="12.28515625" bestFit="1" customWidth="1"/>
    <col min="9" max="9" width="18" bestFit="1" customWidth="1"/>
    <col min="10" max="10" width="9.140625" customWidth="1"/>
    <col min="11" max="12" width="12" bestFit="1" customWidth="1"/>
    <col min="13" max="13" width="14.140625" customWidth="1"/>
  </cols>
  <sheetData>
    <row r="1" spans="1:13" ht="18.75" x14ac:dyDescent="0.3">
      <c r="A1" s="13" t="s">
        <v>659</v>
      </c>
      <c r="D1" t="s">
        <v>660</v>
      </c>
    </row>
    <row r="2" spans="1:13" ht="12.75" customHeight="1" x14ac:dyDescent="0.35">
      <c r="A2" s="24"/>
      <c r="B2" s="24"/>
      <c r="C2" s="2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25">
      <c r="A3" s="27" t="s">
        <v>0</v>
      </c>
      <c r="B3" s="28" t="s">
        <v>1</v>
      </c>
      <c r="C3" s="28" t="s">
        <v>2</v>
      </c>
      <c r="D3" s="28" t="s">
        <v>3</v>
      </c>
      <c r="E3" s="28" t="s">
        <v>4</v>
      </c>
      <c r="F3" s="28" t="s">
        <v>5</v>
      </c>
      <c r="G3" s="28" t="s">
        <v>6</v>
      </c>
      <c r="H3" s="28" t="s">
        <v>7</v>
      </c>
      <c r="I3" s="28" t="s">
        <v>8</v>
      </c>
      <c r="J3" s="28" t="s">
        <v>9</v>
      </c>
      <c r="K3" s="28" t="s">
        <v>10</v>
      </c>
      <c r="L3" s="28" t="s">
        <v>11</v>
      </c>
      <c r="M3" s="29" t="s">
        <v>12</v>
      </c>
    </row>
    <row r="4" spans="1:13" ht="33" customHeight="1" x14ac:dyDescent="0.25">
      <c r="A4" s="30">
        <f>COUNTBLANK(Table1[Ship Mode])</f>
        <v>12</v>
      </c>
      <c r="B4" s="31">
        <f>COUNTBLANK(Table1[Segment])</f>
        <v>0</v>
      </c>
      <c r="C4" s="31">
        <f>COUNTBLANK(Table1[Country])</f>
        <v>0</v>
      </c>
      <c r="D4" s="31">
        <f>COUNTBLANK(Table1[City])</f>
        <v>0</v>
      </c>
      <c r="E4" s="31">
        <f>COUNTBLANK(Table1[State])</f>
        <v>10</v>
      </c>
      <c r="F4" s="31">
        <f>COUNTBLANK(Table1[Postal Code])</f>
        <v>11</v>
      </c>
      <c r="G4" s="31">
        <f>COUNTBLANK(Table1[Region])</f>
        <v>1</v>
      </c>
      <c r="H4" s="31">
        <f>COUNTBLANK(Table1[Category])</f>
        <v>9</v>
      </c>
      <c r="I4" s="31">
        <f>COUNTBLANK(Table1[Sub-Category])</f>
        <v>4</v>
      </c>
      <c r="J4" s="31">
        <f>COUNTBLANK(Table1[Sales])</f>
        <v>0</v>
      </c>
      <c r="K4" s="31">
        <f>COUNTBLANK(Table1[Quantity])</f>
        <v>0</v>
      </c>
      <c r="L4" s="31">
        <f>COUNTBLANK(Table1[Discount])</f>
        <v>0</v>
      </c>
      <c r="M4" s="32">
        <f>COUNTBLANK(Table1[Profit])</f>
        <v>0</v>
      </c>
    </row>
    <row r="5" spans="1:13" ht="15.75" x14ac:dyDescent="0.25">
      <c r="A5" s="25"/>
      <c r="B5" s="26"/>
      <c r="C5" s="26"/>
    </row>
    <row r="6" spans="1:13" ht="15.75" x14ac:dyDescent="0.25">
      <c r="A6" s="25"/>
      <c r="B6" s="26"/>
      <c r="C6" s="26"/>
    </row>
    <row r="7" spans="1:13" ht="15.75" x14ac:dyDescent="0.25">
      <c r="A7" s="25"/>
      <c r="B7" s="26"/>
      <c r="C7" s="26"/>
    </row>
    <row r="8" spans="1:13" ht="15.75" x14ac:dyDescent="0.25">
      <c r="A8" s="25"/>
      <c r="B8" s="26"/>
      <c r="C8" s="26"/>
    </row>
    <row r="9" spans="1:13" ht="15.75" x14ac:dyDescent="0.25">
      <c r="A9" s="42"/>
      <c r="B9" s="26"/>
      <c r="C9" s="26"/>
    </row>
    <row r="10" spans="1:13" ht="15.75" x14ac:dyDescent="0.25">
      <c r="A10" s="42"/>
      <c r="B10" s="26"/>
      <c r="C10" s="26"/>
    </row>
    <row r="11" spans="1:13" ht="15.75" x14ac:dyDescent="0.25">
      <c r="A11" s="25"/>
      <c r="B11" s="26"/>
      <c r="C11" s="26"/>
    </row>
    <row r="12" spans="1:13" ht="15.75" x14ac:dyDescent="0.25">
      <c r="A12" s="25"/>
      <c r="B12" s="26"/>
      <c r="C12" s="26"/>
    </row>
    <row r="13" spans="1:13" ht="15.75" x14ac:dyDescent="0.25">
      <c r="A13" s="25"/>
      <c r="B13" s="26"/>
      <c r="C13" s="26"/>
    </row>
    <row r="14" spans="1:13" ht="15.75" x14ac:dyDescent="0.25">
      <c r="A14" s="25"/>
      <c r="B14" s="26"/>
      <c r="C14" s="26"/>
    </row>
    <row r="15" spans="1:13" ht="15.75" x14ac:dyDescent="0.25">
      <c r="A15" s="25"/>
      <c r="B15" s="26"/>
      <c r="C15" s="2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2997-0D4A-49CE-9D6A-5DE88F3E5D8F}">
  <dimension ref="A1:N27"/>
  <sheetViews>
    <sheetView workbookViewId="0">
      <selection activeCell="G29" sqref="G29"/>
    </sheetView>
  </sheetViews>
  <sheetFormatPr defaultRowHeight="15" x14ac:dyDescent="0.25"/>
  <cols>
    <col min="1" max="1" width="4.28515625" customWidth="1"/>
    <col min="2" max="2" width="12.7109375" customWidth="1"/>
    <col min="3" max="3" width="12.85546875" bestFit="1" customWidth="1"/>
    <col min="4" max="4" width="15" bestFit="1" customWidth="1"/>
    <col min="5" max="5" width="14" bestFit="1" customWidth="1"/>
    <col min="6" max="6" width="11.42578125" bestFit="1" customWidth="1"/>
    <col min="7" max="7" width="13.5703125" customWidth="1"/>
    <col min="8" max="8" width="14.5703125" bestFit="1" customWidth="1"/>
    <col min="9" max="9" width="12.85546875" bestFit="1" customWidth="1"/>
    <col min="10" max="10" width="15" customWidth="1"/>
    <col min="11" max="11" width="8.7109375" bestFit="1" customWidth="1"/>
    <col min="12" max="13" width="10.85546875" customWidth="1"/>
  </cols>
  <sheetData>
    <row r="1" spans="1:14" x14ac:dyDescent="0.25">
      <c r="A1" s="38" t="s">
        <v>662</v>
      </c>
    </row>
    <row r="2" spans="1:14" x14ac:dyDescent="0.25">
      <c r="B2" s="41" t="s">
        <v>664</v>
      </c>
    </row>
    <row r="3" spans="1:14" x14ac:dyDescent="0.25">
      <c r="A3" t="s">
        <v>663</v>
      </c>
      <c r="B3" s="21" t="s">
        <v>0</v>
      </c>
      <c r="C3" s="19" t="s">
        <v>1</v>
      </c>
      <c r="D3" s="19" t="s">
        <v>2</v>
      </c>
      <c r="E3" s="19" t="s">
        <v>3</v>
      </c>
      <c r="F3" s="19" t="s">
        <v>4</v>
      </c>
      <c r="G3" s="19" t="s">
        <v>5</v>
      </c>
      <c r="H3" s="19" t="s">
        <v>6</v>
      </c>
      <c r="I3" s="19" t="s">
        <v>7</v>
      </c>
      <c r="J3" s="19" t="s">
        <v>8</v>
      </c>
      <c r="K3" s="19" t="s">
        <v>9</v>
      </c>
      <c r="L3" s="19" t="s">
        <v>10</v>
      </c>
      <c r="M3" s="19" t="s">
        <v>11</v>
      </c>
      <c r="N3" s="20" t="s">
        <v>12</v>
      </c>
    </row>
    <row r="4" spans="1:14" x14ac:dyDescent="0.25">
      <c r="A4">
        <v>1</v>
      </c>
      <c r="B4" s="22" t="s">
        <v>13</v>
      </c>
      <c r="C4" s="17" t="s">
        <v>14</v>
      </c>
      <c r="D4" s="17" t="s">
        <v>15</v>
      </c>
      <c r="E4" s="17" t="s">
        <v>16</v>
      </c>
      <c r="F4" s="17" t="s">
        <v>17</v>
      </c>
      <c r="G4" s="17">
        <v>42420</v>
      </c>
      <c r="H4" s="17" t="s">
        <v>18</v>
      </c>
      <c r="I4" s="17" t="s">
        <v>19</v>
      </c>
      <c r="J4" s="17" t="s">
        <v>20</v>
      </c>
      <c r="K4" s="17">
        <v>261.95999999999998</v>
      </c>
      <c r="L4" s="17">
        <v>2</v>
      </c>
      <c r="M4" s="17">
        <v>0</v>
      </c>
      <c r="N4" s="18">
        <v>41.913600000000002</v>
      </c>
    </row>
    <row r="5" spans="1:14" x14ac:dyDescent="0.25">
      <c r="A5">
        <v>2</v>
      </c>
      <c r="B5" s="23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>
        <v>42420</v>
      </c>
      <c r="H5" s="15" t="s">
        <v>18</v>
      </c>
      <c r="I5" s="15" t="s">
        <v>19</v>
      </c>
      <c r="J5" s="15" t="s">
        <v>21</v>
      </c>
      <c r="K5" s="15">
        <v>731.94</v>
      </c>
      <c r="L5" s="15">
        <v>3</v>
      </c>
      <c r="M5" s="15">
        <v>0</v>
      </c>
      <c r="N5" s="16">
        <v>219.58199999999999</v>
      </c>
    </row>
    <row r="6" spans="1:14" x14ac:dyDescent="0.25">
      <c r="A6">
        <v>3</v>
      </c>
      <c r="B6" s="22" t="s">
        <v>13</v>
      </c>
      <c r="C6" s="17" t="s">
        <v>22</v>
      </c>
      <c r="D6" s="17" t="s">
        <v>15</v>
      </c>
      <c r="E6" s="17" t="s">
        <v>23</v>
      </c>
      <c r="F6" s="17" t="s">
        <v>24</v>
      </c>
      <c r="G6" s="17">
        <v>90036</v>
      </c>
      <c r="H6" s="17" t="s">
        <v>25</v>
      </c>
      <c r="I6" s="17" t="s">
        <v>26</v>
      </c>
      <c r="J6" s="17" t="s">
        <v>27</v>
      </c>
      <c r="K6" s="17">
        <v>14.62</v>
      </c>
      <c r="L6" s="17">
        <v>2</v>
      </c>
      <c r="M6" s="17">
        <v>0</v>
      </c>
      <c r="N6" s="18">
        <v>6.8714000000000004</v>
      </c>
    </row>
    <row r="7" spans="1:14" x14ac:dyDescent="0.25">
      <c r="A7">
        <v>4</v>
      </c>
      <c r="B7" s="23" t="s">
        <v>28</v>
      </c>
      <c r="C7" s="15" t="s">
        <v>14</v>
      </c>
      <c r="D7" s="15" t="s">
        <v>15</v>
      </c>
      <c r="E7" s="15" t="s">
        <v>29</v>
      </c>
      <c r="F7" s="15" t="s">
        <v>30</v>
      </c>
      <c r="G7" s="15">
        <v>33311</v>
      </c>
      <c r="H7" s="15" t="s">
        <v>18</v>
      </c>
      <c r="I7" s="15" t="s">
        <v>19</v>
      </c>
      <c r="J7" s="15" t="s">
        <v>31</v>
      </c>
      <c r="K7" s="15">
        <v>957.57749999999999</v>
      </c>
      <c r="L7" s="15">
        <v>5</v>
      </c>
      <c r="M7" s="15">
        <v>0.45</v>
      </c>
      <c r="N7" s="16">
        <v>-383.03100000000001</v>
      </c>
    </row>
    <row r="8" spans="1:14" x14ac:dyDescent="0.25">
      <c r="A8">
        <v>5</v>
      </c>
      <c r="B8" s="35" t="s">
        <v>28</v>
      </c>
      <c r="C8" s="36" t="s">
        <v>14</v>
      </c>
      <c r="D8" s="36" t="s">
        <v>15</v>
      </c>
      <c r="E8" s="36" t="s">
        <v>29</v>
      </c>
      <c r="F8" s="36" t="s">
        <v>30</v>
      </c>
      <c r="G8" s="36">
        <v>33311</v>
      </c>
      <c r="H8" s="36" t="s">
        <v>18</v>
      </c>
      <c r="I8" s="36" t="s">
        <v>26</v>
      </c>
      <c r="J8" s="36" t="s">
        <v>32</v>
      </c>
      <c r="K8" s="36">
        <v>22.367999999999999</v>
      </c>
      <c r="L8" s="36">
        <v>2</v>
      </c>
      <c r="M8" s="36">
        <v>0.2</v>
      </c>
      <c r="N8" s="37">
        <v>2.5164</v>
      </c>
    </row>
    <row r="9" spans="1:14" x14ac:dyDescent="0.25">
      <c r="A9">
        <v>6</v>
      </c>
      <c r="B9" t="s">
        <v>28</v>
      </c>
      <c r="C9" t="s">
        <v>14</v>
      </c>
      <c r="D9" t="s">
        <v>15</v>
      </c>
      <c r="E9" t="s">
        <v>29</v>
      </c>
      <c r="F9" t="s">
        <v>30</v>
      </c>
      <c r="G9">
        <v>33311</v>
      </c>
      <c r="H9" t="s">
        <v>18</v>
      </c>
      <c r="I9" t="s">
        <v>19</v>
      </c>
      <c r="J9" t="s">
        <v>31</v>
      </c>
      <c r="K9">
        <v>957.57749999999999</v>
      </c>
      <c r="L9">
        <v>5</v>
      </c>
      <c r="M9">
        <v>0.45</v>
      </c>
      <c r="N9">
        <v>-383.03100000000001</v>
      </c>
    </row>
    <row r="10" spans="1:14" x14ac:dyDescent="0.25">
      <c r="A10">
        <v>7</v>
      </c>
      <c r="B10" s="39" t="s">
        <v>28</v>
      </c>
      <c r="C10" s="39" t="s">
        <v>14</v>
      </c>
      <c r="D10" s="39" t="s">
        <v>15</v>
      </c>
      <c r="E10" s="39" t="s">
        <v>29</v>
      </c>
      <c r="F10" s="39" t="s">
        <v>30</v>
      </c>
      <c r="G10" s="39">
        <v>33311</v>
      </c>
      <c r="H10" s="39" t="s">
        <v>18</v>
      </c>
      <c r="I10" s="39" t="s">
        <v>26</v>
      </c>
      <c r="J10" s="39" t="s">
        <v>32</v>
      </c>
      <c r="K10" s="39">
        <v>22.367999999999999</v>
      </c>
      <c r="L10" s="39">
        <v>2</v>
      </c>
      <c r="M10" s="39">
        <v>0.2</v>
      </c>
      <c r="N10" s="39">
        <v>2.5164</v>
      </c>
    </row>
    <row r="11" spans="1:14" x14ac:dyDescent="0.25">
      <c r="A11">
        <v>8</v>
      </c>
      <c r="B11" t="s">
        <v>28</v>
      </c>
      <c r="C11" t="s">
        <v>14</v>
      </c>
      <c r="D11" t="s">
        <v>15</v>
      </c>
      <c r="E11" t="s">
        <v>29</v>
      </c>
      <c r="F11" t="s">
        <v>30</v>
      </c>
      <c r="G11">
        <v>33311</v>
      </c>
      <c r="H11" t="s">
        <v>18</v>
      </c>
      <c r="I11" t="s">
        <v>19</v>
      </c>
      <c r="J11" t="s">
        <v>31</v>
      </c>
      <c r="K11">
        <v>957.57749999999999</v>
      </c>
      <c r="L11">
        <v>5</v>
      </c>
      <c r="M11">
        <v>0.45</v>
      </c>
      <c r="N11">
        <v>-383.03100000000001</v>
      </c>
    </row>
    <row r="12" spans="1:14" x14ac:dyDescent="0.25">
      <c r="A12">
        <v>9</v>
      </c>
      <c r="B12" s="39" t="s">
        <v>28</v>
      </c>
      <c r="C12" s="39" t="s">
        <v>14</v>
      </c>
      <c r="D12" s="39" t="s">
        <v>15</v>
      </c>
      <c r="E12" s="39" t="s">
        <v>29</v>
      </c>
      <c r="F12" s="39" t="s">
        <v>30</v>
      </c>
      <c r="G12" s="39">
        <v>33311</v>
      </c>
      <c r="H12" s="39" t="s">
        <v>18</v>
      </c>
      <c r="I12" s="39" t="s">
        <v>26</v>
      </c>
      <c r="J12" s="39" t="s">
        <v>32</v>
      </c>
      <c r="K12" s="39">
        <v>22.367999999999999</v>
      </c>
      <c r="L12" s="39">
        <v>2</v>
      </c>
      <c r="M12" s="39">
        <v>0.2</v>
      </c>
      <c r="N12" s="39">
        <v>2.5164</v>
      </c>
    </row>
    <row r="15" spans="1:14" x14ac:dyDescent="0.25">
      <c r="B15" s="41" t="s">
        <v>665</v>
      </c>
    </row>
    <row r="16" spans="1:14" x14ac:dyDescent="0.25">
      <c r="A16" t="s">
        <v>663</v>
      </c>
      <c r="B16" s="21" t="s">
        <v>0</v>
      </c>
      <c r="C16" s="19" t="s">
        <v>1</v>
      </c>
      <c r="D16" s="19" t="s">
        <v>2</v>
      </c>
      <c r="E16" s="19" t="s">
        <v>3</v>
      </c>
      <c r="F16" s="19" t="s">
        <v>4</v>
      </c>
      <c r="G16" s="19" t="s">
        <v>5</v>
      </c>
      <c r="H16" s="19" t="s">
        <v>6</v>
      </c>
      <c r="I16" s="19" t="s">
        <v>7</v>
      </c>
      <c r="J16" s="19" t="s">
        <v>8</v>
      </c>
      <c r="K16" s="19" t="s">
        <v>9</v>
      </c>
      <c r="L16" s="19" t="s">
        <v>10</v>
      </c>
      <c r="M16" s="19" t="s">
        <v>11</v>
      </c>
      <c r="N16" s="20" t="s">
        <v>12</v>
      </c>
    </row>
    <row r="17" spans="1:14" x14ac:dyDescent="0.25">
      <c r="A17">
        <v>1</v>
      </c>
      <c r="B17" s="22" t="s">
        <v>13</v>
      </c>
      <c r="C17" s="17" t="s">
        <v>14</v>
      </c>
      <c r="D17" s="17" t="s">
        <v>15</v>
      </c>
      <c r="E17" s="17" t="s">
        <v>16</v>
      </c>
      <c r="F17" s="17" t="s">
        <v>17</v>
      </c>
      <c r="G17" s="17">
        <v>42420</v>
      </c>
      <c r="H17" s="17" t="s">
        <v>18</v>
      </c>
      <c r="I17" s="17" t="s">
        <v>19</v>
      </c>
      <c r="J17" s="17" t="s">
        <v>20</v>
      </c>
      <c r="K17" s="17">
        <v>261.95999999999998</v>
      </c>
      <c r="L17" s="17">
        <v>2</v>
      </c>
      <c r="M17" s="17">
        <v>0</v>
      </c>
      <c r="N17" s="18">
        <v>41.913600000000002</v>
      </c>
    </row>
    <row r="18" spans="1:14" x14ac:dyDescent="0.25">
      <c r="A18">
        <v>2</v>
      </c>
      <c r="B18" s="23" t="s">
        <v>13</v>
      </c>
      <c r="C18" s="15" t="s">
        <v>14</v>
      </c>
      <c r="D18" s="15" t="s">
        <v>15</v>
      </c>
      <c r="E18" s="15" t="s">
        <v>16</v>
      </c>
      <c r="F18" s="15" t="s">
        <v>17</v>
      </c>
      <c r="G18" s="15">
        <v>42420</v>
      </c>
      <c r="H18" s="15" t="s">
        <v>18</v>
      </c>
      <c r="I18" s="15" t="s">
        <v>19</v>
      </c>
      <c r="J18" s="15" t="s">
        <v>21</v>
      </c>
      <c r="K18" s="15">
        <v>731.94</v>
      </c>
      <c r="L18" s="15">
        <v>3</v>
      </c>
      <c r="M18" s="15">
        <v>0</v>
      </c>
      <c r="N18" s="16">
        <v>219.58199999999999</v>
      </c>
    </row>
    <row r="19" spans="1:14" x14ac:dyDescent="0.25">
      <c r="A19">
        <v>3</v>
      </c>
      <c r="B19" s="22" t="s">
        <v>13</v>
      </c>
      <c r="C19" s="17" t="s">
        <v>22</v>
      </c>
      <c r="D19" s="17" t="s">
        <v>15</v>
      </c>
      <c r="E19" s="17" t="s">
        <v>23</v>
      </c>
      <c r="F19" s="17" t="s">
        <v>24</v>
      </c>
      <c r="G19" s="17">
        <v>90036</v>
      </c>
      <c r="H19" s="17" t="s">
        <v>25</v>
      </c>
      <c r="I19" s="17" t="s">
        <v>26</v>
      </c>
      <c r="J19" s="17" t="s">
        <v>27</v>
      </c>
      <c r="K19" s="17">
        <v>14.62</v>
      </c>
      <c r="L19" s="17">
        <v>2</v>
      </c>
      <c r="M19" s="17">
        <v>0</v>
      </c>
      <c r="N19" s="18">
        <v>6.8714000000000004</v>
      </c>
    </row>
    <row r="20" spans="1:14" x14ac:dyDescent="0.25">
      <c r="A20">
        <v>4</v>
      </c>
      <c r="B20" s="23" t="s">
        <v>28</v>
      </c>
      <c r="C20" s="15" t="s">
        <v>14</v>
      </c>
      <c r="D20" s="15" t="s">
        <v>15</v>
      </c>
      <c r="E20" s="15" t="s">
        <v>29</v>
      </c>
      <c r="F20" s="15" t="s">
        <v>30</v>
      </c>
      <c r="G20" s="15">
        <v>33311</v>
      </c>
      <c r="H20" s="15" t="s">
        <v>18</v>
      </c>
      <c r="I20" s="15" t="s">
        <v>19</v>
      </c>
      <c r="J20" s="15" t="s">
        <v>31</v>
      </c>
      <c r="K20" s="15">
        <v>957.57749999999999</v>
      </c>
      <c r="L20" s="15">
        <v>5</v>
      </c>
      <c r="M20" s="15">
        <v>0.45</v>
      </c>
      <c r="N20" s="16">
        <v>-383.03100000000001</v>
      </c>
    </row>
    <row r="21" spans="1:14" x14ac:dyDescent="0.25">
      <c r="A21">
        <v>5</v>
      </c>
      <c r="B21" s="35" t="s">
        <v>28</v>
      </c>
      <c r="C21" s="36" t="s">
        <v>14</v>
      </c>
      <c r="D21" s="36" t="s">
        <v>15</v>
      </c>
      <c r="E21" s="36" t="s">
        <v>29</v>
      </c>
      <c r="F21" s="36" t="s">
        <v>30</v>
      </c>
      <c r="G21" s="36">
        <v>33311</v>
      </c>
      <c r="H21" s="36" t="s">
        <v>18</v>
      </c>
      <c r="I21" s="36" t="s">
        <v>26</v>
      </c>
      <c r="J21" s="36" t="s">
        <v>32</v>
      </c>
      <c r="K21" s="36">
        <v>22.367999999999999</v>
      </c>
      <c r="L21" s="36">
        <v>2</v>
      </c>
      <c r="M21" s="36">
        <v>0.2</v>
      </c>
      <c r="N21" s="37">
        <v>2.5164</v>
      </c>
    </row>
    <row r="23" spans="1:14" x14ac:dyDescent="0.25">
      <c r="A23" s="40" t="s">
        <v>661</v>
      </c>
    </row>
    <row r="27" spans="1:14" x14ac:dyDescent="0.25">
      <c r="B27" s="40"/>
    </row>
  </sheetData>
  <conditionalFormatting sqref="B4:N4">
    <cfRule type="duplicateValues" dxfId="29" priority="2"/>
  </conditionalFormatting>
  <conditionalFormatting sqref="B17:N17">
    <cfRule type="duplicateValues" dxfId="28" priority="1"/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78"/>
  <sheetViews>
    <sheetView workbookViewId="0">
      <selection activeCell="P18" sqref="P18"/>
    </sheetView>
  </sheetViews>
  <sheetFormatPr defaultRowHeight="15" x14ac:dyDescent="0.25"/>
  <cols>
    <col min="1" max="1" width="14" customWidth="1"/>
    <col min="2" max="2" width="12.140625" bestFit="1" customWidth="1"/>
    <col min="3" max="3" width="12.85546875" bestFit="1" customWidth="1"/>
    <col min="4" max="4" width="18.28515625" bestFit="1" customWidth="1"/>
    <col min="5" max="5" width="18.7109375" bestFit="1" customWidth="1"/>
    <col min="6" max="6" width="13.7109375" bestFit="1" customWidth="1"/>
    <col min="7" max="7" width="9.42578125" bestFit="1" customWidth="1"/>
    <col min="8" max="8" width="14.5703125" bestFit="1" customWidth="1"/>
    <col min="9" max="9" width="15" customWidth="1"/>
    <col min="11" max="12" width="10.8554687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Q1" s="33"/>
      <c r="R1" s="34"/>
      <c r="S1" s="34"/>
      <c r="T1" s="34"/>
      <c r="U1" s="11"/>
      <c r="V1" s="11"/>
      <c r="W1" s="11"/>
      <c r="X1" s="11"/>
      <c r="Y1" s="11"/>
      <c r="Z1" s="11"/>
      <c r="AA1" s="11"/>
      <c r="AB1" s="11"/>
      <c r="AC1" s="12"/>
    </row>
    <row r="2" spans="1:29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29" ht="15.75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  <c r="P3" s="24"/>
      <c r="Q3" s="24"/>
      <c r="R3" s="24"/>
    </row>
    <row r="4" spans="1:29" ht="15.75" x14ac:dyDescent="0.2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  <c r="P4" s="25"/>
      <c r="Q4" s="26"/>
      <c r="R4" s="26"/>
    </row>
    <row r="5" spans="1:29" ht="15.75" x14ac:dyDescent="0.2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  <c r="P5" s="25"/>
      <c r="Q5" s="26"/>
      <c r="R5" s="26"/>
    </row>
    <row r="6" spans="1:29" ht="15.75" x14ac:dyDescent="0.2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  <c r="P6" s="25"/>
      <c r="Q6" s="26"/>
      <c r="R6" s="26"/>
    </row>
    <row r="7" spans="1:29" ht="15.75" x14ac:dyDescent="0.2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  <c r="P7" s="25"/>
      <c r="Q7" s="26"/>
      <c r="R7" s="26"/>
    </row>
    <row r="8" spans="1:29" ht="15.75" x14ac:dyDescent="0.2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  <c r="P8" s="25"/>
      <c r="Q8" s="26"/>
      <c r="R8" s="26"/>
    </row>
    <row r="9" spans="1:29" ht="15.75" x14ac:dyDescent="0.2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  <c r="P9" s="25"/>
      <c r="Q9" s="26"/>
      <c r="R9" s="26"/>
    </row>
    <row r="10" spans="1:29" ht="15.75" x14ac:dyDescent="0.2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  <c r="P10" s="25"/>
      <c r="Q10" s="26"/>
      <c r="R10" s="26"/>
    </row>
    <row r="11" spans="1:29" ht="15.75" x14ac:dyDescent="0.2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  <c r="P11" s="25"/>
      <c r="Q11" s="26"/>
      <c r="R11" s="26"/>
    </row>
    <row r="12" spans="1:29" ht="15.75" x14ac:dyDescent="0.2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  <c r="P12" s="25"/>
      <c r="Q12" s="26"/>
      <c r="R12" s="26"/>
    </row>
    <row r="13" spans="1:29" ht="15.75" x14ac:dyDescent="0.2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  <c r="P13" s="25"/>
      <c r="Q13" s="26"/>
      <c r="R13" s="26"/>
    </row>
    <row r="14" spans="1:29" ht="15.75" x14ac:dyDescent="0.2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  <c r="P14" s="25"/>
      <c r="Q14" s="26"/>
      <c r="R14" s="26"/>
    </row>
    <row r="15" spans="1:29" ht="15.75" x14ac:dyDescent="0.2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  <c r="P15" s="25"/>
      <c r="Q15" s="26"/>
      <c r="R15" s="26"/>
    </row>
    <row r="16" spans="1:29" ht="15.75" x14ac:dyDescent="0.2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  <c r="P16" s="25"/>
      <c r="Q16" s="26"/>
      <c r="R16" s="26"/>
    </row>
    <row r="17" spans="1:13" x14ac:dyDescent="0.2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2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2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2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2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2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2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2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2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2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2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2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2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2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2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2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2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2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2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2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2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2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2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2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25">
      <c r="A41" t="s">
        <v>28</v>
      </c>
      <c r="B41" t="s">
        <v>624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2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2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2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2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2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2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2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2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2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2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2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2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2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2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25">
      <c r="A56" t="s">
        <v>28</v>
      </c>
      <c r="B56" t="s">
        <v>22</v>
      </c>
      <c r="C56" t="s">
        <v>624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25">
      <c r="A57" t="s">
        <v>62</v>
      </c>
      <c r="B57" t="s">
        <v>14</v>
      </c>
      <c r="C57" t="s">
        <v>624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25">
      <c r="A58" t="s">
        <v>62</v>
      </c>
      <c r="B58" t="s">
        <v>14</v>
      </c>
      <c r="C58" t="s">
        <v>624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25">
      <c r="A59" t="s">
        <v>62</v>
      </c>
      <c r="B59" t="s">
        <v>14</v>
      </c>
      <c r="C59" t="s">
        <v>624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25">
      <c r="A60" t="s">
        <v>62</v>
      </c>
      <c r="B60" t="s">
        <v>14</v>
      </c>
      <c r="C60" t="s">
        <v>624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25">
      <c r="A61" t="s">
        <v>62</v>
      </c>
      <c r="B61" t="s">
        <v>14</v>
      </c>
      <c r="C61" t="s">
        <v>624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2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2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2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2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2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2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2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2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2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2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2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2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2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2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2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2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2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2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2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2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2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2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2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2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2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2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2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2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25">
      <c r="A90" t="s">
        <v>13</v>
      </c>
      <c r="B90" t="s">
        <v>44</v>
      </c>
      <c r="C90" t="s">
        <v>15</v>
      </c>
      <c r="D90" t="s">
        <v>61</v>
      </c>
      <c r="E90" t="s">
        <v>624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25">
      <c r="A91" t="s">
        <v>28</v>
      </c>
      <c r="B91" t="s">
        <v>22</v>
      </c>
      <c r="C91" t="s">
        <v>15</v>
      </c>
      <c r="D91" t="s">
        <v>23</v>
      </c>
      <c r="E91" t="s">
        <v>624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25">
      <c r="A92" t="s">
        <v>28</v>
      </c>
      <c r="B92" t="s">
        <v>22</v>
      </c>
      <c r="C92" t="s">
        <v>15</v>
      </c>
      <c r="D92" t="s">
        <v>23</v>
      </c>
      <c r="E92" t="s">
        <v>624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25">
      <c r="A93" t="s">
        <v>28</v>
      </c>
      <c r="B93" t="s">
        <v>22</v>
      </c>
      <c r="C93" t="s">
        <v>15</v>
      </c>
      <c r="D93" t="s">
        <v>23</v>
      </c>
      <c r="E93" t="s">
        <v>624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25">
      <c r="A94" t="s">
        <v>13</v>
      </c>
      <c r="B94" t="s">
        <v>14</v>
      </c>
      <c r="C94" t="s">
        <v>15</v>
      </c>
      <c r="D94" t="s">
        <v>93</v>
      </c>
      <c r="E94" t="s">
        <v>624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25">
      <c r="A95" t="s">
        <v>13</v>
      </c>
      <c r="B95" t="s">
        <v>14</v>
      </c>
      <c r="C95" t="s">
        <v>15</v>
      </c>
      <c r="D95" t="s">
        <v>93</v>
      </c>
      <c r="E95" t="s">
        <v>624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25">
      <c r="A96" t="s">
        <v>13</v>
      </c>
      <c r="B96" t="s">
        <v>14</v>
      </c>
      <c r="C96" t="s">
        <v>15</v>
      </c>
      <c r="D96" t="s">
        <v>93</v>
      </c>
      <c r="E96" t="s">
        <v>624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2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2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2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2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2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2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2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2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2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2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624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2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624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2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624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2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624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2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624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25">
      <c r="A111" t="s">
        <v>28</v>
      </c>
      <c r="B111" t="s">
        <v>44</v>
      </c>
      <c r="C111" t="s">
        <v>15</v>
      </c>
      <c r="D111" t="s">
        <v>100</v>
      </c>
      <c r="E111" t="s">
        <v>624</v>
      </c>
      <c r="F111">
        <v>60462</v>
      </c>
      <c r="G111" t="s">
        <v>47</v>
      </c>
      <c r="H111" t="s">
        <v>624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25">
      <c r="A112" t="s">
        <v>28</v>
      </c>
      <c r="B112" t="s">
        <v>22</v>
      </c>
      <c r="C112" t="s">
        <v>15</v>
      </c>
      <c r="D112" t="s">
        <v>75</v>
      </c>
      <c r="E112" t="s">
        <v>624</v>
      </c>
      <c r="F112">
        <v>10035</v>
      </c>
      <c r="G112" t="s">
        <v>57</v>
      </c>
      <c r="H112" t="s">
        <v>624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25">
      <c r="A113" t="s">
        <v>28</v>
      </c>
      <c r="B113" t="s">
        <v>14</v>
      </c>
      <c r="C113" t="s">
        <v>15</v>
      </c>
      <c r="D113" t="s">
        <v>101</v>
      </c>
      <c r="E113" t="s">
        <v>624</v>
      </c>
      <c r="F113">
        <v>50322</v>
      </c>
      <c r="G113" t="s">
        <v>47</v>
      </c>
      <c r="H113" t="s">
        <v>624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25">
      <c r="A114" t="s">
        <v>28</v>
      </c>
      <c r="B114" t="s">
        <v>14</v>
      </c>
      <c r="C114" t="s">
        <v>15</v>
      </c>
      <c r="D114" t="s">
        <v>101</v>
      </c>
      <c r="E114" t="s">
        <v>624</v>
      </c>
      <c r="F114">
        <v>50322</v>
      </c>
      <c r="G114" t="s">
        <v>47</v>
      </c>
      <c r="H114" t="s">
        <v>624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25">
      <c r="A115" t="s">
        <v>13</v>
      </c>
      <c r="B115" t="s">
        <v>14</v>
      </c>
      <c r="C115" t="s">
        <v>15</v>
      </c>
      <c r="D115" t="s">
        <v>103</v>
      </c>
      <c r="E115" t="s">
        <v>624</v>
      </c>
      <c r="F115">
        <v>43229</v>
      </c>
      <c r="G115" t="s">
        <v>57</v>
      </c>
      <c r="H115" t="s">
        <v>624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25">
      <c r="A116" t="s">
        <v>13</v>
      </c>
      <c r="B116" t="s">
        <v>14</v>
      </c>
      <c r="C116" t="s">
        <v>15</v>
      </c>
      <c r="D116" t="s">
        <v>103</v>
      </c>
      <c r="E116" t="s">
        <v>624</v>
      </c>
      <c r="F116">
        <v>43229</v>
      </c>
      <c r="G116" t="s">
        <v>57</v>
      </c>
      <c r="H116" t="s">
        <v>624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25">
      <c r="A117" t="s">
        <v>13</v>
      </c>
      <c r="B117" t="s">
        <v>14</v>
      </c>
      <c r="C117" t="s">
        <v>15</v>
      </c>
      <c r="D117" t="s">
        <v>103</v>
      </c>
      <c r="E117" t="s">
        <v>624</v>
      </c>
      <c r="F117">
        <v>43229</v>
      </c>
      <c r="G117" t="s">
        <v>57</v>
      </c>
      <c r="H117" t="s">
        <v>624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25">
      <c r="A118" t="s">
        <v>13</v>
      </c>
      <c r="B118" t="s">
        <v>14</v>
      </c>
      <c r="C118" t="s">
        <v>15</v>
      </c>
      <c r="D118" t="s">
        <v>103</v>
      </c>
      <c r="E118" t="s">
        <v>624</v>
      </c>
      <c r="F118">
        <v>43229</v>
      </c>
      <c r="G118" t="s">
        <v>57</v>
      </c>
      <c r="H118" t="s">
        <v>624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25">
      <c r="A119" t="s">
        <v>28</v>
      </c>
      <c r="B119" t="s">
        <v>14</v>
      </c>
      <c r="C119" t="s">
        <v>15</v>
      </c>
      <c r="D119" t="s">
        <v>42</v>
      </c>
      <c r="E119" t="s">
        <v>624</v>
      </c>
      <c r="F119">
        <v>98103</v>
      </c>
      <c r="G119" t="s">
        <v>25</v>
      </c>
      <c r="H119" t="s">
        <v>624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25">
      <c r="A120" t="s">
        <v>28</v>
      </c>
      <c r="B120" t="s">
        <v>22</v>
      </c>
      <c r="C120" t="s">
        <v>15</v>
      </c>
      <c r="D120" t="s">
        <v>105</v>
      </c>
      <c r="E120" t="s">
        <v>624</v>
      </c>
      <c r="F120">
        <v>37620</v>
      </c>
      <c r="G120" t="s">
        <v>18</v>
      </c>
      <c r="H120" t="s">
        <v>624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25">
      <c r="A121" t="s">
        <v>62</v>
      </c>
      <c r="B121" t="s">
        <v>14</v>
      </c>
      <c r="C121" t="s">
        <v>15</v>
      </c>
      <c r="D121" t="s">
        <v>106</v>
      </c>
      <c r="E121" t="s">
        <v>624</v>
      </c>
      <c r="F121">
        <v>19805</v>
      </c>
      <c r="G121" t="s">
        <v>57</v>
      </c>
      <c r="H121" t="s">
        <v>624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25">
      <c r="A122" t="s">
        <v>62</v>
      </c>
      <c r="B122" t="s">
        <v>14</v>
      </c>
      <c r="C122" t="s">
        <v>15</v>
      </c>
      <c r="D122" t="s">
        <v>106</v>
      </c>
      <c r="E122" t="s">
        <v>624</v>
      </c>
      <c r="F122">
        <v>19805</v>
      </c>
      <c r="G122" t="s">
        <v>57</v>
      </c>
      <c r="H122" t="s">
        <v>624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25">
      <c r="A123" t="s">
        <v>62</v>
      </c>
      <c r="B123" t="s">
        <v>14</v>
      </c>
      <c r="C123" t="s">
        <v>15</v>
      </c>
      <c r="D123" t="s">
        <v>106</v>
      </c>
      <c r="E123" t="s">
        <v>624</v>
      </c>
      <c r="F123">
        <v>19805</v>
      </c>
      <c r="G123" t="s">
        <v>57</v>
      </c>
      <c r="H123" t="s">
        <v>624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25">
      <c r="A124" t="s">
        <v>62</v>
      </c>
      <c r="B124" t="s">
        <v>14</v>
      </c>
      <c r="C124" t="s">
        <v>15</v>
      </c>
      <c r="D124" t="s">
        <v>106</v>
      </c>
      <c r="E124" t="s">
        <v>624</v>
      </c>
      <c r="F124">
        <v>19805</v>
      </c>
      <c r="G124" t="s">
        <v>57</v>
      </c>
      <c r="H124" t="s">
        <v>624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25">
      <c r="A125" t="s">
        <v>62</v>
      </c>
      <c r="B125" t="s">
        <v>14</v>
      </c>
      <c r="C125" t="s">
        <v>15</v>
      </c>
      <c r="D125" t="s">
        <v>106</v>
      </c>
      <c r="E125" t="s">
        <v>624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25">
      <c r="A126" t="s">
        <v>13</v>
      </c>
      <c r="B126" t="s">
        <v>44</v>
      </c>
      <c r="C126" t="s">
        <v>15</v>
      </c>
      <c r="D126" t="s">
        <v>61</v>
      </c>
      <c r="E126" t="s">
        <v>624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25">
      <c r="A127" t="s">
        <v>28</v>
      </c>
      <c r="B127" t="s">
        <v>14</v>
      </c>
      <c r="C127" t="s">
        <v>15</v>
      </c>
      <c r="D127" t="s">
        <v>107</v>
      </c>
      <c r="E127" t="s">
        <v>624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25">
      <c r="A128" t="s">
        <v>28</v>
      </c>
      <c r="B128" t="s">
        <v>14</v>
      </c>
      <c r="C128" t="s">
        <v>15</v>
      </c>
      <c r="D128" t="s">
        <v>108</v>
      </c>
      <c r="E128" t="s">
        <v>624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25">
      <c r="A129" t="s">
        <v>28</v>
      </c>
      <c r="B129" t="s">
        <v>14</v>
      </c>
      <c r="C129" t="s">
        <v>15</v>
      </c>
      <c r="D129" t="s">
        <v>108</v>
      </c>
      <c r="E129" t="s">
        <v>624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25">
      <c r="A130" t="s">
        <v>13</v>
      </c>
      <c r="B130" t="s">
        <v>44</v>
      </c>
      <c r="C130" t="s">
        <v>15</v>
      </c>
      <c r="D130" t="s">
        <v>23</v>
      </c>
      <c r="E130" t="s">
        <v>624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25">
      <c r="A131" t="s">
        <v>13</v>
      </c>
      <c r="B131" t="s">
        <v>44</v>
      </c>
      <c r="C131" t="s">
        <v>15</v>
      </c>
      <c r="D131" t="s">
        <v>23</v>
      </c>
      <c r="E131" t="s">
        <v>624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25">
      <c r="A132" t="s">
        <v>62</v>
      </c>
      <c r="B132" t="s">
        <v>22</v>
      </c>
      <c r="C132" t="s">
        <v>15</v>
      </c>
      <c r="D132" t="s">
        <v>103</v>
      </c>
      <c r="E132" t="s">
        <v>624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25">
      <c r="A133" t="s">
        <v>62</v>
      </c>
      <c r="B133" t="s">
        <v>22</v>
      </c>
      <c r="C133" t="s">
        <v>15</v>
      </c>
      <c r="D133" t="s">
        <v>103</v>
      </c>
      <c r="E133" t="s">
        <v>624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25">
      <c r="A134" t="s">
        <v>62</v>
      </c>
      <c r="B134" t="s">
        <v>22</v>
      </c>
      <c r="C134" t="s">
        <v>15</v>
      </c>
      <c r="D134" t="s">
        <v>103</v>
      </c>
      <c r="E134" t="s">
        <v>624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25">
      <c r="A135" t="s">
        <v>28</v>
      </c>
      <c r="B135" t="s">
        <v>14</v>
      </c>
      <c r="C135" t="s">
        <v>15</v>
      </c>
      <c r="D135" t="s">
        <v>109</v>
      </c>
      <c r="E135" t="s">
        <v>624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25">
      <c r="A136" t="s">
        <v>28</v>
      </c>
      <c r="B136" t="s">
        <v>14</v>
      </c>
      <c r="C136" t="s">
        <v>15</v>
      </c>
      <c r="D136" t="s">
        <v>109</v>
      </c>
      <c r="E136" t="s">
        <v>624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25">
      <c r="A137" t="s">
        <v>28</v>
      </c>
      <c r="B137" t="s">
        <v>14</v>
      </c>
      <c r="C137" t="s">
        <v>15</v>
      </c>
      <c r="D137" t="s">
        <v>109</v>
      </c>
      <c r="E137" t="s">
        <v>624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25">
      <c r="A138" t="s">
        <v>28</v>
      </c>
      <c r="B138" t="s">
        <v>14</v>
      </c>
      <c r="C138" t="s">
        <v>15</v>
      </c>
      <c r="D138" t="s">
        <v>109</v>
      </c>
      <c r="E138" t="s">
        <v>624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25">
      <c r="A139" t="s">
        <v>28</v>
      </c>
      <c r="B139" t="s">
        <v>14</v>
      </c>
      <c r="C139" t="s">
        <v>15</v>
      </c>
      <c r="D139" t="s">
        <v>109</v>
      </c>
      <c r="E139" t="s">
        <v>624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25">
      <c r="A140" t="s">
        <v>28</v>
      </c>
      <c r="B140" t="s">
        <v>14</v>
      </c>
      <c r="C140" t="s">
        <v>15</v>
      </c>
      <c r="D140" t="s">
        <v>109</v>
      </c>
      <c r="E140" t="s">
        <v>624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25">
      <c r="A141" t="s">
        <v>28</v>
      </c>
      <c r="B141" t="s">
        <v>14</v>
      </c>
      <c r="C141" t="s">
        <v>15</v>
      </c>
      <c r="D141" t="s">
        <v>109</v>
      </c>
      <c r="E141" t="s">
        <v>624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25">
      <c r="A142" t="s">
        <v>13</v>
      </c>
      <c r="B142" t="s">
        <v>22</v>
      </c>
      <c r="C142" t="s">
        <v>15</v>
      </c>
      <c r="D142" t="s">
        <v>55</v>
      </c>
      <c r="E142" t="s">
        <v>624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25">
      <c r="B143" t="s">
        <v>22</v>
      </c>
      <c r="C143" t="s">
        <v>15</v>
      </c>
      <c r="D143" t="s">
        <v>52</v>
      </c>
      <c r="E143" t="s">
        <v>624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25">
      <c r="A144" t="s">
        <v>28</v>
      </c>
      <c r="B144" t="s">
        <v>22</v>
      </c>
      <c r="C144" t="s">
        <v>15</v>
      </c>
      <c r="D144" t="s">
        <v>52</v>
      </c>
      <c r="E144" t="s">
        <v>624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25">
      <c r="A145" t="s">
        <v>28</v>
      </c>
      <c r="B145" t="s">
        <v>22</v>
      </c>
      <c r="C145" t="s">
        <v>15</v>
      </c>
      <c r="D145" t="s">
        <v>52</v>
      </c>
      <c r="E145" t="s">
        <v>624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25">
      <c r="A146" t="s">
        <v>28</v>
      </c>
      <c r="B146" t="s">
        <v>14</v>
      </c>
      <c r="C146" t="s">
        <v>15</v>
      </c>
      <c r="D146" t="s">
        <v>111</v>
      </c>
      <c r="E146" t="s">
        <v>624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25">
      <c r="A147" t="s">
        <v>28</v>
      </c>
      <c r="B147" t="s">
        <v>14</v>
      </c>
      <c r="C147" t="s">
        <v>15</v>
      </c>
      <c r="D147" t="s">
        <v>113</v>
      </c>
      <c r="E147" t="s">
        <v>624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25">
      <c r="A148" t="s">
        <v>28</v>
      </c>
      <c r="B148" t="s">
        <v>44</v>
      </c>
      <c r="C148" t="s">
        <v>15</v>
      </c>
      <c r="D148" t="s">
        <v>114</v>
      </c>
      <c r="E148" t="s">
        <v>624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25">
      <c r="A149" t="s">
        <v>28</v>
      </c>
      <c r="B149" t="s">
        <v>22</v>
      </c>
      <c r="C149" t="s">
        <v>15</v>
      </c>
      <c r="D149" t="s">
        <v>115</v>
      </c>
      <c r="E149" t="s">
        <v>624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25">
      <c r="A150" t="s">
        <v>28</v>
      </c>
      <c r="B150" t="s">
        <v>22</v>
      </c>
      <c r="C150" t="s">
        <v>15</v>
      </c>
      <c r="D150" t="s">
        <v>115</v>
      </c>
      <c r="E150" t="s">
        <v>624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25">
      <c r="A151" t="s">
        <v>28</v>
      </c>
      <c r="B151" t="s">
        <v>22</v>
      </c>
      <c r="C151" t="s">
        <v>15</v>
      </c>
      <c r="D151" t="s">
        <v>115</v>
      </c>
      <c r="E151" t="s">
        <v>624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25">
      <c r="A152" t="s">
        <v>28</v>
      </c>
      <c r="B152" t="s">
        <v>22</v>
      </c>
      <c r="C152" t="s">
        <v>15</v>
      </c>
      <c r="D152" t="s">
        <v>115</v>
      </c>
      <c r="E152" t="s">
        <v>624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25">
      <c r="A153" t="s">
        <v>62</v>
      </c>
      <c r="B153" t="s">
        <v>44</v>
      </c>
      <c r="C153" t="s">
        <v>15</v>
      </c>
      <c r="D153" t="s">
        <v>116</v>
      </c>
      <c r="E153" t="s">
        <v>624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25">
      <c r="A154" t="s">
        <v>62</v>
      </c>
      <c r="B154" t="s">
        <v>44</v>
      </c>
      <c r="C154" t="s">
        <v>15</v>
      </c>
      <c r="D154" t="s">
        <v>116</v>
      </c>
      <c r="E154" t="s">
        <v>624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25">
      <c r="A155" t="s">
        <v>62</v>
      </c>
      <c r="B155" t="s">
        <v>22</v>
      </c>
      <c r="C155" t="s">
        <v>15</v>
      </c>
      <c r="D155" t="s">
        <v>117</v>
      </c>
      <c r="E155" t="s">
        <v>624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25">
      <c r="A156" t="s">
        <v>62</v>
      </c>
      <c r="B156" t="s">
        <v>22</v>
      </c>
      <c r="C156" t="s">
        <v>15</v>
      </c>
      <c r="D156" t="s">
        <v>117</v>
      </c>
      <c r="E156" t="s">
        <v>624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25">
      <c r="A157" t="s">
        <v>62</v>
      </c>
      <c r="B157" t="s">
        <v>22</v>
      </c>
      <c r="C157" t="s">
        <v>15</v>
      </c>
      <c r="D157" t="s">
        <v>117</v>
      </c>
      <c r="E157" t="s">
        <v>624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25">
      <c r="A158" t="s">
        <v>28</v>
      </c>
      <c r="B158" t="s">
        <v>44</v>
      </c>
      <c r="C158" t="s">
        <v>15</v>
      </c>
      <c r="D158" t="s">
        <v>42</v>
      </c>
      <c r="E158" t="s">
        <v>624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25">
      <c r="A159" t="s">
        <v>13</v>
      </c>
      <c r="B159" t="s">
        <v>14</v>
      </c>
      <c r="C159" t="s">
        <v>15</v>
      </c>
      <c r="D159" t="s">
        <v>42</v>
      </c>
      <c r="E159" t="s">
        <v>624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25">
      <c r="A160" t="s">
        <v>28</v>
      </c>
      <c r="B160" t="s">
        <v>14</v>
      </c>
      <c r="C160" t="s">
        <v>15</v>
      </c>
      <c r="D160" t="s">
        <v>118</v>
      </c>
      <c r="E160" t="s">
        <v>624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25">
      <c r="A161" t="s">
        <v>28</v>
      </c>
      <c r="B161" t="s">
        <v>14</v>
      </c>
      <c r="C161" t="s">
        <v>15</v>
      </c>
      <c r="D161" t="s">
        <v>118</v>
      </c>
      <c r="E161" t="s">
        <v>624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25">
      <c r="A162" t="s">
        <v>62</v>
      </c>
      <c r="B162" t="s">
        <v>14</v>
      </c>
      <c r="C162" t="s">
        <v>15</v>
      </c>
      <c r="D162" t="s">
        <v>23</v>
      </c>
      <c r="E162" t="s">
        <v>624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25">
      <c r="A163" t="s">
        <v>13</v>
      </c>
      <c r="B163" t="s">
        <v>14</v>
      </c>
      <c r="C163" t="s">
        <v>15</v>
      </c>
      <c r="D163" t="s">
        <v>55</v>
      </c>
      <c r="E163" t="s">
        <v>624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25">
      <c r="A164" t="s">
        <v>28</v>
      </c>
      <c r="B164" t="s">
        <v>14</v>
      </c>
      <c r="C164" t="s">
        <v>15</v>
      </c>
      <c r="D164" t="s">
        <v>120</v>
      </c>
      <c r="E164" t="s">
        <v>624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25">
      <c r="A165" t="s">
        <v>28</v>
      </c>
      <c r="B165" t="s">
        <v>14</v>
      </c>
      <c r="C165" t="s">
        <v>15</v>
      </c>
      <c r="D165" t="s">
        <v>42</v>
      </c>
      <c r="E165" t="s">
        <v>624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25">
      <c r="A166" t="s">
        <v>28</v>
      </c>
      <c r="B166" t="s">
        <v>14</v>
      </c>
      <c r="C166" t="s">
        <v>15</v>
      </c>
      <c r="D166" t="s">
        <v>122</v>
      </c>
      <c r="E166" t="s">
        <v>624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25">
      <c r="A167" t="s">
        <v>28</v>
      </c>
      <c r="B167" t="s">
        <v>14</v>
      </c>
      <c r="C167" t="s">
        <v>15</v>
      </c>
      <c r="D167" t="s">
        <v>122</v>
      </c>
      <c r="E167" t="s">
        <v>624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25">
      <c r="A168" t="s">
        <v>28</v>
      </c>
      <c r="B168" t="s">
        <v>14</v>
      </c>
      <c r="C168" t="s">
        <v>15</v>
      </c>
      <c r="D168" t="s">
        <v>122</v>
      </c>
      <c r="E168" t="s">
        <v>624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25">
      <c r="A169" t="s">
        <v>28</v>
      </c>
      <c r="B169" t="s">
        <v>14</v>
      </c>
      <c r="C169" t="s">
        <v>15</v>
      </c>
      <c r="D169" t="s">
        <v>122</v>
      </c>
      <c r="E169" t="s">
        <v>624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25">
      <c r="A170" t="s">
        <v>28</v>
      </c>
      <c r="B170" t="s">
        <v>14</v>
      </c>
      <c r="C170" t="s">
        <v>15</v>
      </c>
      <c r="D170" t="s">
        <v>122</v>
      </c>
      <c r="E170" t="s">
        <v>624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25">
      <c r="A171" t="s">
        <v>28</v>
      </c>
      <c r="B171" t="s">
        <v>14</v>
      </c>
      <c r="C171" t="s">
        <v>15</v>
      </c>
      <c r="D171" t="s">
        <v>122</v>
      </c>
      <c r="E171" t="s">
        <v>624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25">
      <c r="A172" t="s">
        <v>28</v>
      </c>
      <c r="B172" t="s">
        <v>14</v>
      </c>
      <c r="C172" t="s">
        <v>15</v>
      </c>
      <c r="D172" t="s">
        <v>122</v>
      </c>
      <c r="E172" t="s">
        <v>624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25">
      <c r="A173" t="s">
        <v>28</v>
      </c>
      <c r="B173" t="s">
        <v>14</v>
      </c>
      <c r="C173" t="s">
        <v>15</v>
      </c>
      <c r="D173" t="s">
        <v>23</v>
      </c>
      <c r="E173" t="s">
        <v>624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25">
      <c r="A174" t="s">
        <v>28</v>
      </c>
      <c r="B174" t="s">
        <v>14</v>
      </c>
      <c r="C174" t="s">
        <v>15</v>
      </c>
      <c r="D174" t="s">
        <v>23</v>
      </c>
      <c r="E174" t="s">
        <v>624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25">
      <c r="A175" t="s">
        <v>28</v>
      </c>
      <c r="B175" t="s">
        <v>14</v>
      </c>
      <c r="C175" t="s">
        <v>15</v>
      </c>
      <c r="D175" t="s">
        <v>23</v>
      </c>
      <c r="E175" t="s">
        <v>624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25">
      <c r="A176" t="s">
        <v>28</v>
      </c>
      <c r="B176" t="s">
        <v>22</v>
      </c>
      <c r="C176" t="s">
        <v>15</v>
      </c>
      <c r="D176" t="s">
        <v>79</v>
      </c>
      <c r="E176" t="s">
        <v>624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25">
      <c r="A177" t="s">
        <v>28</v>
      </c>
      <c r="B177" t="s">
        <v>22</v>
      </c>
      <c r="C177" t="s">
        <v>15</v>
      </c>
      <c r="D177" t="s">
        <v>79</v>
      </c>
      <c r="E177" t="s">
        <v>624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25">
      <c r="A178" t="s">
        <v>13</v>
      </c>
      <c r="B178" t="s">
        <v>14</v>
      </c>
      <c r="C178" t="s">
        <v>15</v>
      </c>
      <c r="D178" t="s">
        <v>61</v>
      </c>
      <c r="E178" t="s">
        <v>624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25">
      <c r="A179" t="s">
        <v>13</v>
      </c>
      <c r="B179" t="s">
        <v>14</v>
      </c>
      <c r="C179" t="s">
        <v>15</v>
      </c>
      <c r="D179" t="s">
        <v>114</v>
      </c>
      <c r="E179" t="s">
        <v>624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25">
      <c r="A180" t="s">
        <v>13</v>
      </c>
      <c r="B180" t="s">
        <v>14</v>
      </c>
      <c r="C180" t="s">
        <v>15</v>
      </c>
      <c r="D180" t="s">
        <v>114</v>
      </c>
      <c r="E180" t="s">
        <v>624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25">
      <c r="A181" t="s">
        <v>28</v>
      </c>
      <c r="B181" t="s">
        <v>44</v>
      </c>
      <c r="C181" t="s">
        <v>15</v>
      </c>
      <c r="D181" t="s">
        <v>75</v>
      </c>
      <c r="E181" t="s">
        <v>624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25">
      <c r="A182" t="s">
        <v>13</v>
      </c>
      <c r="B182" t="s">
        <v>22</v>
      </c>
      <c r="C182" t="s">
        <v>15</v>
      </c>
      <c r="D182" t="s">
        <v>87</v>
      </c>
      <c r="E182" t="s">
        <v>624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25">
      <c r="A183" t="s">
        <v>13</v>
      </c>
      <c r="B183" t="s">
        <v>22</v>
      </c>
      <c r="C183" t="s">
        <v>15</v>
      </c>
      <c r="D183" t="s">
        <v>87</v>
      </c>
      <c r="E183" t="s">
        <v>624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25">
      <c r="A184" t="s">
        <v>13</v>
      </c>
      <c r="B184" t="s">
        <v>44</v>
      </c>
      <c r="C184" t="s">
        <v>15</v>
      </c>
      <c r="D184" t="s">
        <v>124</v>
      </c>
      <c r="E184" t="s">
        <v>624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25">
      <c r="A185" t="s">
        <v>13</v>
      </c>
      <c r="B185" t="s">
        <v>44</v>
      </c>
      <c r="C185" t="s">
        <v>15</v>
      </c>
      <c r="D185" t="s">
        <v>124</v>
      </c>
      <c r="E185" t="s">
        <v>624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25">
      <c r="A186" t="s">
        <v>13</v>
      </c>
      <c r="B186" t="s">
        <v>44</v>
      </c>
      <c r="C186" t="s">
        <v>15</v>
      </c>
      <c r="D186" t="s">
        <v>124</v>
      </c>
      <c r="E186" t="s">
        <v>624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25">
      <c r="A187" t="s">
        <v>28</v>
      </c>
      <c r="B187" t="s">
        <v>14</v>
      </c>
      <c r="C187" t="s">
        <v>15</v>
      </c>
      <c r="D187" t="s">
        <v>126</v>
      </c>
      <c r="E187" t="s">
        <v>624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25">
      <c r="A188" t="s">
        <v>28</v>
      </c>
      <c r="B188" t="s">
        <v>44</v>
      </c>
      <c r="C188" t="s">
        <v>15</v>
      </c>
      <c r="D188" t="s">
        <v>23</v>
      </c>
      <c r="E188" t="s">
        <v>624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25">
      <c r="A189" t="s">
        <v>28</v>
      </c>
      <c r="B189" t="s">
        <v>22</v>
      </c>
      <c r="C189" t="s">
        <v>15</v>
      </c>
      <c r="D189" t="s">
        <v>128</v>
      </c>
      <c r="E189" t="s">
        <v>624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25">
      <c r="A190" t="s">
        <v>28</v>
      </c>
      <c r="B190" t="s">
        <v>22</v>
      </c>
      <c r="C190" t="s">
        <v>15</v>
      </c>
      <c r="D190" t="s">
        <v>128</v>
      </c>
      <c r="E190" t="s">
        <v>624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25">
      <c r="A191" t="s">
        <v>62</v>
      </c>
      <c r="B191" t="s">
        <v>44</v>
      </c>
      <c r="C191" t="s">
        <v>15</v>
      </c>
      <c r="D191" t="s">
        <v>75</v>
      </c>
      <c r="E191" t="s">
        <v>624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25">
      <c r="A192" t="s">
        <v>62</v>
      </c>
      <c r="B192" t="s">
        <v>44</v>
      </c>
      <c r="C192" t="s">
        <v>15</v>
      </c>
      <c r="D192" t="s">
        <v>75</v>
      </c>
      <c r="E192" t="s">
        <v>624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25">
      <c r="B193" t="s">
        <v>44</v>
      </c>
      <c r="C193" t="s">
        <v>15</v>
      </c>
      <c r="D193" t="s">
        <v>75</v>
      </c>
      <c r="E193" t="s">
        <v>624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25">
      <c r="A194" t="s">
        <v>62</v>
      </c>
      <c r="B194" t="s">
        <v>44</v>
      </c>
      <c r="C194" t="s">
        <v>15</v>
      </c>
      <c r="D194" t="s">
        <v>75</v>
      </c>
      <c r="E194" t="s">
        <v>624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25">
      <c r="A195" t="s">
        <v>62</v>
      </c>
      <c r="B195" t="s">
        <v>44</v>
      </c>
      <c r="C195" t="s">
        <v>15</v>
      </c>
      <c r="D195" t="s">
        <v>75</v>
      </c>
      <c r="E195" t="s">
        <v>624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25">
      <c r="A196" t="s">
        <v>28</v>
      </c>
      <c r="B196" t="s">
        <v>22</v>
      </c>
      <c r="C196" t="s">
        <v>15</v>
      </c>
      <c r="D196" t="s">
        <v>129</v>
      </c>
      <c r="E196" t="s">
        <v>624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25">
      <c r="A197" t="s">
        <v>28</v>
      </c>
      <c r="B197" t="s">
        <v>14</v>
      </c>
      <c r="C197" t="s">
        <v>15</v>
      </c>
      <c r="D197" t="s">
        <v>130</v>
      </c>
      <c r="E197" t="s">
        <v>624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25">
      <c r="A198" t="s">
        <v>28</v>
      </c>
      <c r="B198" t="s">
        <v>14</v>
      </c>
      <c r="C198" t="s">
        <v>15</v>
      </c>
      <c r="D198" t="s">
        <v>130</v>
      </c>
      <c r="E198" t="s">
        <v>624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25">
      <c r="A199" t="s">
        <v>28</v>
      </c>
      <c r="B199" t="s">
        <v>44</v>
      </c>
      <c r="C199" t="s">
        <v>15</v>
      </c>
      <c r="D199" t="s">
        <v>131</v>
      </c>
      <c r="E199" t="s">
        <v>624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25">
      <c r="A200" t="s">
        <v>28</v>
      </c>
      <c r="B200" t="s">
        <v>22</v>
      </c>
      <c r="C200" t="s">
        <v>15</v>
      </c>
      <c r="D200" t="s">
        <v>55</v>
      </c>
      <c r="E200" t="s">
        <v>624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25">
      <c r="A201" t="s">
        <v>28</v>
      </c>
      <c r="B201" t="s">
        <v>22</v>
      </c>
      <c r="C201" t="s">
        <v>15</v>
      </c>
      <c r="D201" t="s">
        <v>55</v>
      </c>
      <c r="E201" t="s">
        <v>624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25">
      <c r="A202" t="s">
        <v>28</v>
      </c>
      <c r="B202" t="s">
        <v>14</v>
      </c>
      <c r="C202" t="s">
        <v>15</v>
      </c>
      <c r="D202" t="s">
        <v>133</v>
      </c>
      <c r="E202" t="s">
        <v>624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25">
      <c r="A203" t="s">
        <v>62</v>
      </c>
      <c r="B203" t="s">
        <v>14</v>
      </c>
      <c r="C203" t="s">
        <v>15</v>
      </c>
      <c r="D203" t="s">
        <v>134</v>
      </c>
      <c r="E203" t="s">
        <v>624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25">
      <c r="A204" t="s">
        <v>62</v>
      </c>
      <c r="B204" t="s">
        <v>14</v>
      </c>
      <c r="C204" t="s">
        <v>15</v>
      </c>
      <c r="D204" t="s">
        <v>134</v>
      </c>
      <c r="E204" t="s">
        <v>624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25">
      <c r="A205" t="s">
        <v>13</v>
      </c>
      <c r="B205" t="s">
        <v>14</v>
      </c>
      <c r="C205" t="s">
        <v>15</v>
      </c>
      <c r="D205" t="s">
        <v>135</v>
      </c>
      <c r="E205" t="s">
        <v>624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25">
      <c r="A206" t="s">
        <v>28</v>
      </c>
      <c r="B206" t="s">
        <v>22</v>
      </c>
      <c r="C206" t="s">
        <v>15</v>
      </c>
      <c r="D206" t="s">
        <v>115</v>
      </c>
      <c r="E206" t="s">
        <v>624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25">
      <c r="A207" t="s">
        <v>28</v>
      </c>
      <c r="B207" t="s">
        <v>14</v>
      </c>
      <c r="C207" t="s">
        <v>15</v>
      </c>
      <c r="D207" t="s">
        <v>136</v>
      </c>
      <c r="E207" t="s">
        <v>624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25">
      <c r="A208" t="s">
        <v>28</v>
      </c>
      <c r="B208" t="s">
        <v>14</v>
      </c>
      <c r="C208" t="s">
        <v>15</v>
      </c>
      <c r="D208" t="s">
        <v>137</v>
      </c>
      <c r="E208" t="s">
        <v>624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25">
      <c r="A209" t="s">
        <v>28</v>
      </c>
      <c r="B209" t="s">
        <v>14</v>
      </c>
      <c r="C209" t="s">
        <v>15</v>
      </c>
      <c r="D209" t="s">
        <v>137</v>
      </c>
      <c r="E209" t="s">
        <v>624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25">
      <c r="A210" t="s">
        <v>28</v>
      </c>
      <c r="B210" t="s">
        <v>14</v>
      </c>
      <c r="C210" t="s">
        <v>15</v>
      </c>
      <c r="D210" t="s">
        <v>137</v>
      </c>
      <c r="E210" t="s">
        <v>624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25">
      <c r="A211" t="s">
        <v>28</v>
      </c>
      <c r="B211" t="s">
        <v>14</v>
      </c>
      <c r="C211" t="s">
        <v>15</v>
      </c>
      <c r="D211" t="s">
        <v>137</v>
      </c>
      <c r="E211" t="s">
        <v>624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25">
      <c r="A212" t="s">
        <v>28</v>
      </c>
      <c r="B212" t="s">
        <v>14</v>
      </c>
      <c r="C212" t="s">
        <v>15</v>
      </c>
      <c r="D212" t="s">
        <v>137</v>
      </c>
      <c r="E212" t="s">
        <v>624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25">
      <c r="A213" t="s">
        <v>13</v>
      </c>
      <c r="B213" t="s">
        <v>22</v>
      </c>
      <c r="C213" t="s">
        <v>15</v>
      </c>
      <c r="D213" t="s">
        <v>135</v>
      </c>
      <c r="E213" t="s">
        <v>624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25">
      <c r="A214" t="s">
        <v>28</v>
      </c>
      <c r="B214" t="s">
        <v>22</v>
      </c>
      <c r="C214" t="s">
        <v>15</v>
      </c>
      <c r="D214" t="s">
        <v>138</v>
      </c>
      <c r="E214" t="s">
        <v>624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25">
      <c r="A215" t="s">
        <v>28</v>
      </c>
      <c r="B215" t="s">
        <v>22</v>
      </c>
      <c r="C215" t="s">
        <v>15</v>
      </c>
      <c r="D215" t="s">
        <v>138</v>
      </c>
      <c r="E215" t="s">
        <v>624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25">
      <c r="A216" t="s">
        <v>28</v>
      </c>
      <c r="B216" t="s">
        <v>22</v>
      </c>
      <c r="C216" t="s">
        <v>15</v>
      </c>
      <c r="D216" t="s">
        <v>138</v>
      </c>
      <c r="E216" t="s">
        <v>624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25">
      <c r="A217" t="s">
        <v>28</v>
      </c>
      <c r="B217" t="s">
        <v>22</v>
      </c>
      <c r="C217" t="s">
        <v>15</v>
      </c>
      <c r="D217" t="s">
        <v>138</v>
      </c>
      <c r="E217" t="s">
        <v>624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25">
      <c r="A218" t="s">
        <v>28</v>
      </c>
      <c r="B218" t="s">
        <v>22</v>
      </c>
      <c r="C218" t="s">
        <v>15</v>
      </c>
      <c r="D218" t="s">
        <v>138</v>
      </c>
      <c r="E218" t="s">
        <v>624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25">
      <c r="A219" t="s">
        <v>28</v>
      </c>
      <c r="B219" t="s">
        <v>14</v>
      </c>
      <c r="C219" t="s">
        <v>15</v>
      </c>
      <c r="D219" t="s">
        <v>23</v>
      </c>
      <c r="E219" t="s">
        <v>624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25">
      <c r="A220" t="s">
        <v>28</v>
      </c>
      <c r="B220" t="s">
        <v>14</v>
      </c>
      <c r="C220" t="s">
        <v>15</v>
      </c>
      <c r="D220" t="s">
        <v>23</v>
      </c>
      <c r="E220" t="s">
        <v>624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25">
      <c r="A221" t="s">
        <v>62</v>
      </c>
      <c r="B221" t="s">
        <v>14</v>
      </c>
      <c r="C221" t="s">
        <v>15</v>
      </c>
      <c r="D221" t="s">
        <v>139</v>
      </c>
      <c r="E221" t="s">
        <v>624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25">
      <c r="A222" t="s">
        <v>62</v>
      </c>
      <c r="B222" t="s">
        <v>14</v>
      </c>
      <c r="C222" t="s">
        <v>15</v>
      </c>
      <c r="D222" t="s">
        <v>139</v>
      </c>
      <c r="E222" t="s">
        <v>624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25">
      <c r="A223" t="s">
        <v>62</v>
      </c>
      <c r="B223" t="s">
        <v>14</v>
      </c>
      <c r="C223" t="s">
        <v>15</v>
      </c>
      <c r="D223" t="s">
        <v>139</v>
      </c>
      <c r="E223" t="s">
        <v>624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25">
      <c r="A224" t="s">
        <v>62</v>
      </c>
      <c r="B224" t="s">
        <v>14</v>
      </c>
      <c r="C224" t="s">
        <v>15</v>
      </c>
      <c r="D224" t="s">
        <v>139</v>
      </c>
      <c r="E224" t="s">
        <v>624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25">
      <c r="A225" t="s">
        <v>62</v>
      </c>
      <c r="B225" t="s">
        <v>14</v>
      </c>
      <c r="C225" t="s">
        <v>15</v>
      </c>
      <c r="D225" t="s">
        <v>139</v>
      </c>
      <c r="E225" t="s">
        <v>624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2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2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2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2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2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2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2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2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2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2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2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2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2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2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2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2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2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2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25"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2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2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2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2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2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2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2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2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2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2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2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2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2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2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25"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2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25"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2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2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2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2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2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2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2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2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2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2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2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2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2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2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2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2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2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2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2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2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2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2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2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2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2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2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2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2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2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2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2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2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2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2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2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2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2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2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2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2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2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2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2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2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2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2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2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2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2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2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2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2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2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2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2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2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2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2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2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2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2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2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2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2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2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2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2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2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2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2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2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2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2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2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2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2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2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2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2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2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2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2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2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2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2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2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2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2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2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2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2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2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2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2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2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2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2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2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2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2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2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2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2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2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2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2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2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2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2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2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2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2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2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2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2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2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2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2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2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2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2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2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2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2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2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2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2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2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2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2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2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2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2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2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2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2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2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2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2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2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2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2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2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2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2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2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2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2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2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2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2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2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2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2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2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2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2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2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2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2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2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2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2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2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2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2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2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2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2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2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2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2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2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2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2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2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2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2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2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2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2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2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2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2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2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2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2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2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2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2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2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2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2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2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2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2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2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2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2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2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2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2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2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2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2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2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2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2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2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2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2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2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2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2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2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2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2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2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2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2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2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2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2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2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2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2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2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2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2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2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2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2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2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2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2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2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2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2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2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2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2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2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2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2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2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2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2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2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2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2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2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2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2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2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2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2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2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2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2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2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2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2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2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2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2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2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2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2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2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2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2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2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2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2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2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2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2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2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2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2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2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2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2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2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2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2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2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2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2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2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2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2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2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2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2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2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2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2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2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2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2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2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2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2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2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2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2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2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2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2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2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2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2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2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2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2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2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2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2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2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2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2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2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2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2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2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2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2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2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2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2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2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2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2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2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2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2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2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2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2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2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2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2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2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2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2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2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2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2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2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2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2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2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2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2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2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2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2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2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2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2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2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2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2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2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2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2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2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2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2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2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2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2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2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2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2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2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2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2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2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2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2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2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2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2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2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2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2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2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2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2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2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2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2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2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2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2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2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2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2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2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2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2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2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2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2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2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2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2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2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2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2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2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2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2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2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2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2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2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2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2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2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2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2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2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2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2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2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2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2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2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2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2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2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2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2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2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2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2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2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2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2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2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2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2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2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2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2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2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2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2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2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2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2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2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2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2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2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2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2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2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2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2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2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2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2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2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2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2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2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2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2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2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2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2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2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2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2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2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2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2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2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2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2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2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2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2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2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2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2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2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2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2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2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2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2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2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2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2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2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2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2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2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2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2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2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2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2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2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2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2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2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2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2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2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2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2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2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2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2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2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2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2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2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2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2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2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2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2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2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2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2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2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2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2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2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2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2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2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2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2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2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2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2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2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2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2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2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2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2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2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2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2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2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2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2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2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2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2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2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2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2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2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2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2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2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2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2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2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2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2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2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2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2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2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2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2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2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2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2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2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2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2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2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2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2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2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2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2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2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2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2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2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2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2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2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2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2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2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2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2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2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2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2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2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2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2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2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2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2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2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2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2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2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2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2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2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2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2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2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2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2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2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2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2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2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2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2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2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2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2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2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2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2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2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2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2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2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2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2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2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2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2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2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2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2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2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2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2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2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2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2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2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2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2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2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2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2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2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2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2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2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2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2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2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2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2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2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2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2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2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2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2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2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2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2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2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2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2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2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2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2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2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2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2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2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2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2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2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2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2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</row>
    <row r="953" spans="1:13" x14ac:dyDescent="0.25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 x14ac:dyDescent="0.25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 x14ac:dyDescent="0.2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</row>
    <row r="956" spans="1:13" x14ac:dyDescent="0.25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</row>
    <row r="957" spans="1:13" x14ac:dyDescent="0.25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 x14ac:dyDescent="0.2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 x14ac:dyDescent="0.2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</row>
    <row r="960" spans="1:13" x14ac:dyDescent="0.25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</row>
    <row r="961" spans="1:13" x14ac:dyDescent="0.25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</row>
    <row r="962" spans="1:13" x14ac:dyDescent="0.25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</row>
    <row r="963" spans="1:13" x14ac:dyDescent="0.25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</row>
    <row r="964" spans="1:13" x14ac:dyDescent="0.25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 x14ac:dyDescent="0.25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 x14ac:dyDescent="0.2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</row>
    <row r="967" spans="1:13" x14ac:dyDescent="0.2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</row>
    <row r="968" spans="1:13" x14ac:dyDescent="0.2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</row>
    <row r="969" spans="1:13" x14ac:dyDescent="0.2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 x14ac:dyDescent="0.2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</row>
    <row r="971" spans="1:13" x14ac:dyDescent="0.25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</row>
    <row r="972" spans="1:13" x14ac:dyDescent="0.2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</row>
    <row r="973" spans="1:13" x14ac:dyDescent="0.2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</row>
    <row r="974" spans="1:13" x14ac:dyDescent="0.2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 x14ac:dyDescent="0.25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</row>
    <row r="976" spans="1:13" x14ac:dyDescent="0.2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 x14ac:dyDescent="0.25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</row>
    <row r="978" spans="1:13" x14ac:dyDescent="0.25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</row>
    <row r="979" spans="1:13" x14ac:dyDescent="0.25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</row>
    <row r="980" spans="1:13" x14ac:dyDescent="0.25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</row>
    <row r="981" spans="1:13" x14ac:dyDescent="0.25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 x14ac:dyDescent="0.25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 x14ac:dyDescent="0.2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 x14ac:dyDescent="0.2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 x14ac:dyDescent="0.25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 x14ac:dyDescent="0.2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</row>
    <row r="987" spans="1:13" x14ac:dyDescent="0.2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</row>
    <row r="988" spans="1:13" x14ac:dyDescent="0.25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 x14ac:dyDescent="0.25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</row>
    <row r="990" spans="1:13" x14ac:dyDescent="0.2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</row>
    <row r="991" spans="1:13" x14ac:dyDescent="0.25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</row>
    <row r="992" spans="1:13" x14ac:dyDescent="0.25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</row>
    <row r="993" spans="1:13" x14ac:dyDescent="0.25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</row>
    <row r="994" spans="1:13" x14ac:dyDescent="0.2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</row>
    <row r="995" spans="1:13" x14ac:dyDescent="0.25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</row>
    <row r="996" spans="1:13" x14ac:dyDescent="0.2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</row>
    <row r="997" spans="1:13" x14ac:dyDescent="0.25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</row>
    <row r="998" spans="1:13" x14ac:dyDescent="0.2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</row>
    <row r="999" spans="1:13" x14ac:dyDescent="0.2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</row>
    <row r="1000" spans="1:13" x14ac:dyDescent="0.2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 x14ac:dyDescent="0.25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 x14ac:dyDescent="0.25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</row>
    <row r="1003" spans="1:13" x14ac:dyDescent="0.2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 x14ac:dyDescent="0.2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 x14ac:dyDescent="0.25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</row>
    <row r="1006" spans="1:13" x14ac:dyDescent="0.25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</row>
    <row r="1007" spans="1:13" x14ac:dyDescent="0.25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</row>
    <row r="1008" spans="1:13" x14ac:dyDescent="0.2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 x14ac:dyDescent="0.25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</row>
    <row r="1010" spans="1:13" x14ac:dyDescent="0.25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 x14ac:dyDescent="0.25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 x14ac:dyDescent="0.25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</row>
    <row r="1013" spans="1:13" x14ac:dyDescent="0.2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</row>
    <row r="1014" spans="1:13" x14ac:dyDescent="0.25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</row>
    <row r="1015" spans="1:13" x14ac:dyDescent="0.2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</row>
    <row r="1016" spans="1:13" x14ac:dyDescent="0.25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</row>
    <row r="1017" spans="1:13" x14ac:dyDescent="0.25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</row>
    <row r="1018" spans="1:13" x14ac:dyDescent="0.2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</row>
    <row r="1019" spans="1:13" x14ac:dyDescent="0.2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</row>
    <row r="1020" spans="1:13" x14ac:dyDescent="0.2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 x14ac:dyDescent="0.25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</row>
    <row r="1022" spans="1:13" x14ac:dyDescent="0.2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</row>
    <row r="1023" spans="1:13" x14ac:dyDescent="0.2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</row>
    <row r="1024" spans="1:13" x14ac:dyDescent="0.25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 x14ac:dyDescent="0.25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</row>
    <row r="1026" spans="1:13" x14ac:dyDescent="0.25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 x14ac:dyDescent="0.2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</row>
    <row r="1028" spans="1:13" x14ac:dyDescent="0.2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 x14ac:dyDescent="0.25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</row>
    <row r="1030" spans="1:13" x14ac:dyDescent="0.2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</row>
    <row r="1031" spans="1:13" x14ac:dyDescent="0.2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</row>
    <row r="1032" spans="1:13" x14ac:dyDescent="0.2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</row>
    <row r="1033" spans="1:13" x14ac:dyDescent="0.2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 x14ac:dyDescent="0.25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</row>
    <row r="1035" spans="1:13" x14ac:dyDescent="0.2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</row>
    <row r="1036" spans="1:13" x14ac:dyDescent="0.2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</row>
    <row r="1037" spans="1:13" x14ac:dyDescent="0.25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</row>
    <row r="1038" spans="1:13" x14ac:dyDescent="0.25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</row>
    <row r="1039" spans="1:13" x14ac:dyDescent="0.25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</row>
    <row r="1040" spans="1:13" x14ac:dyDescent="0.2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 x14ac:dyDescent="0.25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</row>
    <row r="1042" spans="1:13" x14ac:dyDescent="0.25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 x14ac:dyDescent="0.2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 x14ac:dyDescent="0.25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</row>
    <row r="1045" spans="1:13" x14ac:dyDescent="0.2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</row>
    <row r="1046" spans="1:13" x14ac:dyDescent="0.25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</row>
    <row r="1047" spans="1:13" x14ac:dyDescent="0.25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</row>
    <row r="1048" spans="1:13" x14ac:dyDescent="0.2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</row>
    <row r="1049" spans="1:13" x14ac:dyDescent="0.25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</row>
    <row r="1050" spans="1:13" x14ac:dyDescent="0.2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</row>
    <row r="1051" spans="1:13" x14ac:dyDescent="0.25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</row>
    <row r="1052" spans="1:13" x14ac:dyDescent="0.2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</row>
    <row r="1053" spans="1:13" x14ac:dyDescent="0.2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 x14ac:dyDescent="0.25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</row>
    <row r="1055" spans="1:13" x14ac:dyDescent="0.2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</row>
    <row r="1056" spans="1:13" x14ac:dyDescent="0.2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</row>
    <row r="1057" spans="1:13" x14ac:dyDescent="0.2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</row>
    <row r="1058" spans="1:13" x14ac:dyDescent="0.25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</row>
    <row r="1059" spans="1:13" x14ac:dyDescent="0.2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 x14ac:dyDescent="0.25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</row>
    <row r="1061" spans="1:13" x14ac:dyDescent="0.25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 x14ac:dyDescent="0.25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 x14ac:dyDescent="0.2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 x14ac:dyDescent="0.2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 x14ac:dyDescent="0.2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</row>
    <row r="1066" spans="1:13" x14ac:dyDescent="0.2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</row>
    <row r="1067" spans="1:13" x14ac:dyDescent="0.2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</row>
    <row r="1068" spans="1:13" x14ac:dyDescent="0.25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 x14ac:dyDescent="0.25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 x14ac:dyDescent="0.25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 x14ac:dyDescent="0.25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</row>
    <row r="1072" spans="1:13" x14ac:dyDescent="0.25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 x14ac:dyDescent="0.25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 x14ac:dyDescent="0.25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</row>
    <row r="1075" spans="1:13" x14ac:dyDescent="0.2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 x14ac:dyDescent="0.2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 x14ac:dyDescent="0.25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</row>
    <row r="1078" spans="1:13" x14ac:dyDescent="0.25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</row>
    <row r="1079" spans="1:13" x14ac:dyDescent="0.2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</row>
    <row r="1080" spans="1:13" x14ac:dyDescent="0.2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</row>
    <row r="1081" spans="1:13" x14ac:dyDescent="0.25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 x14ac:dyDescent="0.2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 x14ac:dyDescent="0.25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 x14ac:dyDescent="0.2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 x14ac:dyDescent="0.2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</row>
    <row r="1086" spans="1:13" x14ac:dyDescent="0.2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</row>
    <row r="1087" spans="1:13" x14ac:dyDescent="0.25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</row>
    <row r="1088" spans="1:13" x14ac:dyDescent="0.25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 x14ac:dyDescent="0.2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 x14ac:dyDescent="0.25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 x14ac:dyDescent="0.2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 x14ac:dyDescent="0.25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</row>
    <row r="1093" spans="1:13" x14ac:dyDescent="0.2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</row>
    <row r="1094" spans="1:13" x14ac:dyDescent="0.25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</row>
    <row r="1095" spans="1:13" x14ac:dyDescent="0.2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</row>
    <row r="1096" spans="1:13" x14ac:dyDescent="0.25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</row>
    <row r="1097" spans="1:13" x14ac:dyDescent="0.2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 x14ac:dyDescent="0.25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 x14ac:dyDescent="0.25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</row>
    <row r="1100" spans="1:13" x14ac:dyDescent="0.2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</row>
    <row r="1101" spans="1:13" x14ac:dyDescent="0.2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</row>
    <row r="1102" spans="1:13" x14ac:dyDescent="0.2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</row>
    <row r="1103" spans="1:13" x14ac:dyDescent="0.25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</row>
    <row r="1104" spans="1:13" x14ac:dyDescent="0.2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</row>
    <row r="1105" spans="1:13" x14ac:dyDescent="0.25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 x14ac:dyDescent="0.25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</row>
    <row r="1107" spans="1:13" x14ac:dyDescent="0.2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 x14ac:dyDescent="0.2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</row>
    <row r="1109" spans="1:13" x14ac:dyDescent="0.2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 x14ac:dyDescent="0.2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 x14ac:dyDescent="0.2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</row>
    <row r="1112" spans="1:13" x14ac:dyDescent="0.2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 x14ac:dyDescent="0.2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 x14ac:dyDescent="0.25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</row>
    <row r="1115" spans="1:13" x14ac:dyDescent="0.2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 x14ac:dyDescent="0.2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</row>
    <row r="1117" spans="1:13" x14ac:dyDescent="0.25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 x14ac:dyDescent="0.25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 x14ac:dyDescent="0.2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 x14ac:dyDescent="0.2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 x14ac:dyDescent="0.2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</row>
    <row r="1122" spans="1:13" x14ac:dyDescent="0.25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</row>
    <row r="1123" spans="1:13" x14ac:dyDescent="0.2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</row>
    <row r="1124" spans="1:13" x14ac:dyDescent="0.2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</row>
    <row r="1125" spans="1:13" x14ac:dyDescent="0.2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</row>
    <row r="1126" spans="1:13" x14ac:dyDescent="0.2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</row>
    <row r="1127" spans="1:13" x14ac:dyDescent="0.2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</row>
    <row r="1128" spans="1:13" x14ac:dyDescent="0.25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</row>
    <row r="1129" spans="1:13" x14ac:dyDescent="0.2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 x14ac:dyDescent="0.25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</row>
    <row r="1131" spans="1:13" x14ac:dyDescent="0.2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</row>
    <row r="1132" spans="1:13" x14ac:dyDescent="0.2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</row>
    <row r="1133" spans="1:13" x14ac:dyDescent="0.25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 x14ac:dyDescent="0.25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</row>
    <row r="1135" spans="1:13" x14ac:dyDescent="0.2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 x14ac:dyDescent="0.25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 x14ac:dyDescent="0.25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</row>
    <row r="1138" spans="1:13" x14ac:dyDescent="0.2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 x14ac:dyDescent="0.2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</row>
    <row r="1140" spans="1:13" x14ac:dyDescent="0.2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</row>
    <row r="1141" spans="1:13" x14ac:dyDescent="0.2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</row>
    <row r="1142" spans="1:13" x14ac:dyDescent="0.25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</row>
    <row r="1143" spans="1:13" x14ac:dyDescent="0.2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 x14ac:dyDescent="0.2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</row>
    <row r="1145" spans="1:13" x14ac:dyDescent="0.2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 x14ac:dyDescent="0.2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</row>
    <row r="1147" spans="1:13" x14ac:dyDescent="0.25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</row>
    <row r="1148" spans="1:13" x14ac:dyDescent="0.2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</row>
    <row r="1149" spans="1:13" x14ac:dyDescent="0.2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</row>
    <row r="1150" spans="1:13" x14ac:dyDescent="0.2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</row>
    <row r="1151" spans="1:13" x14ac:dyDescent="0.2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</row>
    <row r="1152" spans="1:13" x14ac:dyDescent="0.25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 x14ac:dyDescent="0.25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</row>
    <row r="1154" spans="1:13" x14ac:dyDescent="0.2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</row>
    <row r="1155" spans="1:13" x14ac:dyDescent="0.25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</row>
    <row r="1156" spans="1:13" x14ac:dyDescent="0.2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</row>
    <row r="1157" spans="1:13" x14ac:dyDescent="0.2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</row>
    <row r="1158" spans="1:13" x14ac:dyDescent="0.2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 x14ac:dyDescent="0.25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 x14ac:dyDescent="0.25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</row>
    <row r="1161" spans="1:13" x14ac:dyDescent="0.2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</row>
    <row r="1162" spans="1:13" x14ac:dyDescent="0.25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 x14ac:dyDescent="0.25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</row>
    <row r="1164" spans="1:13" x14ac:dyDescent="0.2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 x14ac:dyDescent="0.2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</row>
    <row r="1166" spans="1:13" x14ac:dyDescent="0.25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</row>
    <row r="1167" spans="1:13" x14ac:dyDescent="0.25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</row>
    <row r="1168" spans="1:13" x14ac:dyDescent="0.25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</row>
    <row r="1169" spans="1:13" x14ac:dyDescent="0.2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</row>
    <row r="1170" spans="1:13" x14ac:dyDescent="0.2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 x14ac:dyDescent="0.2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</row>
    <row r="1172" spans="1:13" x14ac:dyDescent="0.25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 x14ac:dyDescent="0.25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</row>
    <row r="1174" spans="1:13" x14ac:dyDescent="0.25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 x14ac:dyDescent="0.25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</row>
    <row r="1176" spans="1:13" x14ac:dyDescent="0.25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</row>
    <row r="1177" spans="1:13" x14ac:dyDescent="0.25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 x14ac:dyDescent="0.25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</row>
    <row r="1179" spans="1:13" x14ac:dyDescent="0.2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 x14ac:dyDescent="0.25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 x14ac:dyDescent="0.25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</row>
    <row r="1182" spans="1:13" x14ac:dyDescent="0.2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</row>
    <row r="1183" spans="1:13" x14ac:dyDescent="0.25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</row>
    <row r="1184" spans="1:13" x14ac:dyDescent="0.2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</row>
    <row r="1185" spans="1:13" x14ac:dyDescent="0.25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 x14ac:dyDescent="0.2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</row>
    <row r="1187" spans="1:13" x14ac:dyDescent="0.2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</row>
    <row r="1188" spans="1:13" x14ac:dyDescent="0.2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</row>
    <row r="1189" spans="1:13" x14ac:dyDescent="0.25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</row>
    <row r="1190" spans="1:13" x14ac:dyDescent="0.2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 x14ac:dyDescent="0.2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 x14ac:dyDescent="0.2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 x14ac:dyDescent="0.2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</row>
    <row r="1194" spans="1:13" x14ac:dyDescent="0.25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 x14ac:dyDescent="0.2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</row>
    <row r="1196" spans="1:13" x14ac:dyDescent="0.2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 x14ac:dyDescent="0.2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 x14ac:dyDescent="0.25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</row>
    <row r="1199" spans="1:13" x14ac:dyDescent="0.2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 x14ac:dyDescent="0.2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</row>
    <row r="1201" spans="1:13" x14ac:dyDescent="0.25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 x14ac:dyDescent="0.2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</row>
    <row r="1203" spans="1:13" x14ac:dyDescent="0.2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 x14ac:dyDescent="0.2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</row>
    <row r="1205" spans="1:13" x14ac:dyDescent="0.2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</row>
    <row r="1206" spans="1:13" x14ac:dyDescent="0.25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 x14ac:dyDescent="0.25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</row>
    <row r="1208" spans="1:13" x14ac:dyDescent="0.2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 x14ac:dyDescent="0.2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</row>
    <row r="1210" spans="1:13" x14ac:dyDescent="0.2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 x14ac:dyDescent="0.2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 x14ac:dyDescent="0.2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 x14ac:dyDescent="0.25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 x14ac:dyDescent="0.2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</row>
    <row r="1215" spans="1:13" x14ac:dyDescent="0.2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 x14ac:dyDescent="0.2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</row>
    <row r="1217" spans="1:13" x14ac:dyDescent="0.2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</row>
    <row r="1218" spans="1:13" x14ac:dyDescent="0.2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 x14ac:dyDescent="0.2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 x14ac:dyDescent="0.2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 x14ac:dyDescent="0.25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</row>
    <row r="1222" spans="1:13" x14ac:dyDescent="0.2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</row>
    <row r="1223" spans="1:13" x14ac:dyDescent="0.25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</row>
    <row r="1224" spans="1:13" x14ac:dyDescent="0.2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 x14ac:dyDescent="0.2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 x14ac:dyDescent="0.2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</row>
    <row r="1227" spans="1:13" x14ac:dyDescent="0.2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</row>
    <row r="1228" spans="1:13" x14ac:dyDescent="0.2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</row>
    <row r="1229" spans="1:13" x14ac:dyDescent="0.25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</row>
    <row r="1230" spans="1:13" x14ac:dyDescent="0.2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</row>
    <row r="1231" spans="1:13" x14ac:dyDescent="0.2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</row>
    <row r="1232" spans="1:13" x14ac:dyDescent="0.25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</row>
    <row r="1233" spans="1:13" x14ac:dyDescent="0.2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 x14ac:dyDescent="0.25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 x14ac:dyDescent="0.25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 x14ac:dyDescent="0.2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</row>
    <row r="1237" spans="1:13" x14ac:dyDescent="0.2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</row>
    <row r="1238" spans="1:13" x14ac:dyDescent="0.2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 x14ac:dyDescent="0.25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</row>
    <row r="1240" spans="1:13" x14ac:dyDescent="0.2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</row>
    <row r="1241" spans="1:13" x14ac:dyDescent="0.2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 x14ac:dyDescent="0.25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</row>
    <row r="1243" spans="1:13" x14ac:dyDescent="0.25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</row>
    <row r="1244" spans="1:13" x14ac:dyDescent="0.2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 x14ac:dyDescent="0.25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 x14ac:dyDescent="0.25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 x14ac:dyDescent="0.2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 x14ac:dyDescent="0.2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 x14ac:dyDescent="0.25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</row>
    <row r="1250" spans="1:13" x14ac:dyDescent="0.2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</row>
    <row r="1251" spans="1:13" x14ac:dyDescent="0.2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</row>
    <row r="1252" spans="1:13" x14ac:dyDescent="0.2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</row>
    <row r="1253" spans="1:13" x14ac:dyDescent="0.25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 x14ac:dyDescent="0.25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 x14ac:dyDescent="0.2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 x14ac:dyDescent="0.2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 x14ac:dyDescent="0.2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</row>
    <row r="1258" spans="1:13" x14ac:dyDescent="0.25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</row>
    <row r="1259" spans="1:13" x14ac:dyDescent="0.2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</row>
    <row r="1260" spans="1:13" x14ac:dyDescent="0.2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</row>
    <row r="1261" spans="1:13" x14ac:dyDescent="0.25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 x14ac:dyDescent="0.25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 x14ac:dyDescent="0.25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 x14ac:dyDescent="0.25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 x14ac:dyDescent="0.2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 x14ac:dyDescent="0.25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</row>
    <row r="1267" spans="1:13" x14ac:dyDescent="0.25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 x14ac:dyDescent="0.2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 x14ac:dyDescent="0.25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 x14ac:dyDescent="0.25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</row>
    <row r="1271" spans="1:13" x14ac:dyDescent="0.25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 x14ac:dyDescent="0.2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</row>
    <row r="1273" spans="1:13" x14ac:dyDescent="0.2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 x14ac:dyDescent="0.25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 x14ac:dyDescent="0.2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</row>
    <row r="1276" spans="1:13" x14ac:dyDescent="0.2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</row>
    <row r="1277" spans="1:13" x14ac:dyDescent="0.2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 x14ac:dyDescent="0.25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 x14ac:dyDescent="0.25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 x14ac:dyDescent="0.2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 x14ac:dyDescent="0.25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 x14ac:dyDescent="0.25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 x14ac:dyDescent="0.2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 x14ac:dyDescent="0.2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</row>
    <row r="1285" spans="1:13" x14ac:dyDescent="0.25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</row>
    <row r="1286" spans="1:13" x14ac:dyDescent="0.25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</row>
    <row r="1287" spans="1:13" x14ac:dyDescent="0.25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</row>
    <row r="1288" spans="1:13" x14ac:dyDescent="0.25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 x14ac:dyDescent="0.2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</row>
    <row r="1290" spans="1:13" x14ac:dyDescent="0.2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</row>
    <row r="1291" spans="1:13" x14ac:dyDescent="0.25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 x14ac:dyDescent="0.2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</row>
    <row r="1293" spans="1:13" x14ac:dyDescent="0.25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</row>
    <row r="1294" spans="1:13" x14ac:dyDescent="0.2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</row>
    <row r="1295" spans="1:13" x14ac:dyDescent="0.2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 x14ac:dyDescent="0.25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 x14ac:dyDescent="0.25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</row>
    <row r="1298" spans="1:13" x14ac:dyDescent="0.2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</row>
    <row r="1299" spans="1:13" x14ac:dyDescent="0.25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</row>
    <row r="1300" spans="1:13" x14ac:dyDescent="0.25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</row>
    <row r="1301" spans="1:13" x14ac:dyDescent="0.25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</row>
    <row r="1302" spans="1:13" x14ac:dyDescent="0.2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</row>
    <row r="1303" spans="1:13" x14ac:dyDescent="0.25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</row>
    <row r="1304" spans="1:13" x14ac:dyDescent="0.25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</row>
    <row r="1305" spans="1:13" x14ac:dyDescent="0.2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 x14ac:dyDescent="0.25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 x14ac:dyDescent="0.25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</row>
    <row r="1308" spans="1:13" x14ac:dyDescent="0.2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</row>
    <row r="1309" spans="1:13" x14ac:dyDescent="0.2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</row>
    <row r="1310" spans="1:13" x14ac:dyDescent="0.2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</row>
    <row r="1311" spans="1:13" x14ac:dyDescent="0.2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 x14ac:dyDescent="0.25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 x14ac:dyDescent="0.2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 x14ac:dyDescent="0.25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 x14ac:dyDescent="0.25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 x14ac:dyDescent="0.2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</row>
    <row r="1317" spans="1:13" x14ac:dyDescent="0.2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</row>
    <row r="1318" spans="1:13" x14ac:dyDescent="0.25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</row>
    <row r="1319" spans="1:13" x14ac:dyDescent="0.25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 x14ac:dyDescent="0.2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</row>
    <row r="1321" spans="1:13" x14ac:dyDescent="0.25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 x14ac:dyDescent="0.2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 x14ac:dyDescent="0.25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</row>
    <row r="1324" spans="1:13" x14ac:dyDescent="0.25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 x14ac:dyDescent="0.25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 x14ac:dyDescent="0.25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 x14ac:dyDescent="0.25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 x14ac:dyDescent="0.25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</row>
    <row r="1329" spans="1:13" x14ac:dyDescent="0.25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</row>
    <row r="1330" spans="1:13" x14ac:dyDescent="0.25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</row>
    <row r="1331" spans="1:13" x14ac:dyDescent="0.25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</row>
    <row r="1332" spans="1:13" x14ac:dyDescent="0.2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</row>
    <row r="1333" spans="1:13" x14ac:dyDescent="0.25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 x14ac:dyDescent="0.2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 x14ac:dyDescent="0.25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 x14ac:dyDescent="0.25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</row>
    <row r="1337" spans="1:13" x14ac:dyDescent="0.25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 x14ac:dyDescent="0.25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</row>
    <row r="1339" spans="1:13" x14ac:dyDescent="0.2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</row>
    <row r="1340" spans="1:13" x14ac:dyDescent="0.2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 x14ac:dyDescent="0.25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</row>
    <row r="1342" spans="1:13" x14ac:dyDescent="0.2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 x14ac:dyDescent="0.2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 x14ac:dyDescent="0.25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 x14ac:dyDescent="0.2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 x14ac:dyDescent="0.25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</row>
    <row r="1347" spans="1:13" x14ac:dyDescent="0.2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</row>
    <row r="1348" spans="1:13" x14ac:dyDescent="0.2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</row>
    <row r="1349" spans="1:13" x14ac:dyDescent="0.2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</row>
    <row r="1350" spans="1:13" x14ac:dyDescent="0.2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</row>
    <row r="1351" spans="1:13" x14ac:dyDescent="0.25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</row>
    <row r="1352" spans="1:13" x14ac:dyDescent="0.25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</row>
    <row r="1353" spans="1:13" x14ac:dyDescent="0.25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</row>
    <row r="1354" spans="1:13" x14ac:dyDescent="0.2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</row>
    <row r="1355" spans="1:13" x14ac:dyDescent="0.2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</row>
    <row r="1356" spans="1:13" x14ac:dyDescent="0.25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 x14ac:dyDescent="0.2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 x14ac:dyDescent="0.25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</row>
    <row r="1359" spans="1:13" x14ac:dyDescent="0.25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 x14ac:dyDescent="0.25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</row>
    <row r="1361" spans="1:13" x14ac:dyDescent="0.25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</row>
    <row r="1362" spans="1:13" x14ac:dyDescent="0.2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</row>
    <row r="1363" spans="1:13" x14ac:dyDescent="0.2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 x14ac:dyDescent="0.25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 x14ac:dyDescent="0.2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</row>
    <row r="1366" spans="1:13" x14ac:dyDescent="0.2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</row>
    <row r="1367" spans="1:13" x14ac:dyDescent="0.2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 x14ac:dyDescent="0.2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</row>
    <row r="1369" spans="1:13" x14ac:dyDescent="0.25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</row>
    <row r="1370" spans="1:13" x14ac:dyDescent="0.25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 x14ac:dyDescent="0.2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</row>
    <row r="1372" spans="1:13" x14ac:dyDescent="0.25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</row>
    <row r="1373" spans="1:13" x14ac:dyDescent="0.25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 x14ac:dyDescent="0.2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 x14ac:dyDescent="0.25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 x14ac:dyDescent="0.25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 x14ac:dyDescent="0.2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</row>
    <row r="1378" spans="1:13" x14ac:dyDescent="0.2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 x14ac:dyDescent="0.2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</row>
    <row r="1380" spans="1:13" x14ac:dyDescent="0.2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</row>
    <row r="1381" spans="1:13" x14ac:dyDescent="0.2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 x14ac:dyDescent="0.25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 x14ac:dyDescent="0.25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</row>
    <row r="1384" spans="1:13" x14ac:dyDescent="0.2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 x14ac:dyDescent="0.2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</row>
    <row r="1386" spans="1:13" x14ac:dyDescent="0.2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</row>
    <row r="1387" spans="1:13" x14ac:dyDescent="0.2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 x14ac:dyDescent="0.2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</row>
    <row r="1389" spans="1:13" x14ac:dyDescent="0.2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 x14ac:dyDescent="0.2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 x14ac:dyDescent="0.2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</row>
    <row r="1392" spans="1:13" x14ac:dyDescent="0.2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 x14ac:dyDescent="0.2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</row>
    <row r="1394" spans="1:13" x14ac:dyDescent="0.25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</row>
    <row r="1395" spans="1:13" x14ac:dyDescent="0.25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 x14ac:dyDescent="0.2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 x14ac:dyDescent="0.25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 x14ac:dyDescent="0.2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</row>
    <row r="1399" spans="1:13" x14ac:dyDescent="0.2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</row>
    <row r="1400" spans="1:13" x14ac:dyDescent="0.2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</row>
    <row r="1401" spans="1:13" x14ac:dyDescent="0.25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</row>
    <row r="1402" spans="1:13" x14ac:dyDescent="0.2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 x14ac:dyDescent="0.25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 x14ac:dyDescent="0.2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 x14ac:dyDescent="0.25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 x14ac:dyDescent="0.2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 x14ac:dyDescent="0.2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 x14ac:dyDescent="0.25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 x14ac:dyDescent="0.2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 x14ac:dyDescent="0.25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 x14ac:dyDescent="0.25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 x14ac:dyDescent="0.25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 x14ac:dyDescent="0.2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 x14ac:dyDescent="0.25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</row>
    <row r="1415" spans="1:13" x14ac:dyDescent="0.25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</row>
    <row r="1416" spans="1:13" x14ac:dyDescent="0.2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 x14ac:dyDescent="0.25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 x14ac:dyDescent="0.2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 x14ac:dyDescent="0.2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 x14ac:dyDescent="0.25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 x14ac:dyDescent="0.2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 x14ac:dyDescent="0.2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 x14ac:dyDescent="0.2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 x14ac:dyDescent="0.2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</row>
    <row r="1425" spans="1:13" x14ac:dyDescent="0.2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 x14ac:dyDescent="0.2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 x14ac:dyDescent="0.25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 x14ac:dyDescent="0.2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</row>
    <row r="1429" spans="1:13" x14ac:dyDescent="0.2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 x14ac:dyDescent="0.2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 x14ac:dyDescent="0.25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 x14ac:dyDescent="0.25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</row>
    <row r="1433" spans="1:13" x14ac:dyDescent="0.2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</row>
    <row r="1434" spans="1:13" x14ac:dyDescent="0.2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</row>
    <row r="1435" spans="1:13" x14ac:dyDescent="0.25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</row>
    <row r="1436" spans="1:13" x14ac:dyDescent="0.25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</row>
    <row r="1437" spans="1:13" x14ac:dyDescent="0.2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 x14ac:dyDescent="0.25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</row>
    <row r="1439" spans="1:13" x14ac:dyDescent="0.2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</row>
    <row r="1440" spans="1:13" x14ac:dyDescent="0.25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</row>
    <row r="1441" spans="1:13" x14ac:dyDescent="0.2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</row>
    <row r="1442" spans="1:13" x14ac:dyDescent="0.25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</row>
    <row r="1443" spans="1:13" x14ac:dyDescent="0.25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</row>
    <row r="1444" spans="1:13" x14ac:dyDescent="0.25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 x14ac:dyDescent="0.25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 x14ac:dyDescent="0.25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</row>
    <row r="1447" spans="1:13" x14ac:dyDescent="0.2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 x14ac:dyDescent="0.2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 x14ac:dyDescent="0.25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 x14ac:dyDescent="0.25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 x14ac:dyDescent="0.25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</row>
    <row r="1452" spans="1:13" x14ac:dyDescent="0.25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</row>
    <row r="1453" spans="1:13" x14ac:dyDescent="0.2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</row>
    <row r="1454" spans="1:13" x14ac:dyDescent="0.2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 x14ac:dyDescent="0.2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 x14ac:dyDescent="0.25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</row>
    <row r="1457" spans="1:13" x14ac:dyDescent="0.2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</row>
    <row r="1458" spans="1:13" x14ac:dyDescent="0.25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</row>
    <row r="1459" spans="1:13" x14ac:dyDescent="0.25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 x14ac:dyDescent="0.25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</row>
    <row r="1461" spans="1:13" x14ac:dyDescent="0.25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 x14ac:dyDescent="0.25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</row>
    <row r="1463" spans="1:13" x14ac:dyDescent="0.25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 x14ac:dyDescent="0.2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</row>
    <row r="1465" spans="1:13" x14ac:dyDescent="0.25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</row>
    <row r="1466" spans="1:13" x14ac:dyDescent="0.25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</row>
    <row r="1467" spans="1:13" x14ac:dyDescent="0.2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</row>
    <row r="1468" spans="1:13" x14ac:dyDescent="0.25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 x14ac:dyDescent="0.25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</row>
    <row r="1470" spans="1:13" x14ac:dyDescent="0.2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</row>
    <row r="1471" spans="1:13" x14ac:dyDescent="0.2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</row>
    <row r="1472" spans="1:13" x14ac:dyDescent="0.25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 x14ac:dyDescent="0.25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 x14ac:dyDescent="0.25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 x14ac:dyDescent="0.25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</row>
    <row r="1476" spans="1:13" x14ac:dyDescent="0.2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</row>
    <row r="1477" spans="1:13" x14ac:dyDescent="0.25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 x14ac:dyDescent="0.25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 x14ac:dyDescent="0.25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</row>
    <row r="1480" spans="1:13" x14ac:dyDescent="0.25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</row>
    <row r="1481" spans="1:13" x14ac:dyDescent="0.2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</row>
    <row r="1482" spans="1:13" x14ac:dyDescent="0.2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 x14ac:dyDescent="0.25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 x14ac:dyDescent="0.2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</row>
    <row r="1485" spans="1:13" x14ac:dyDescent="0.25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</row>
    <row r="1486" spans="1:13" x14ac:dyDescent="0.25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</row>
    <row r="1487" spans="1:13" x14ac:dyDescent="0.25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 x14ac:dyDescent="0.2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</row>
    <row r="1489" spans="1:13" x14ac:dyDescent="0.2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</row>
    <row r="1490" spans="1:13" x14ac:dyDescent="0.25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 x14ac:dyDescent="0.25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</row>
    <row r="1492" spans="1:13" x14ac:dyDescent="0.25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</row>
    <row r="1493" spans="1:13" x14ac:dyDescent="0.2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 x14ac:dyDescent="0.25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</row>
    <row r="1495" spans="1:13" x14ac:dyDescent="0.25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</row>
    <row r="1496" spans="1:13" x14ac:dyDescent="0.25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</row>
    <row r="1497" spans="1:13" x14ac:dyDescent="0.2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 x14ac:dyDescent="0.2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</row>
    <row r="1499" spans="1:13" x14ac:dyDescent="0.25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</row>
    <row r="1500" spans="1:13" x14ac:dyDescent="0.25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 x14ac:dyDescent="0.2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 x14ac:dyDescent="0.2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</row>
    <row r="1503" spans="1:13" x14ac:dyDescent="0.25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 x14ac:dyDescent="0.2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</row>
    <row r="1505" spans="1:13" x14ac:dyDescent="0.2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</row>
    <row r="1506" spans="1:13" x14ac:dyDescent="0.2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 x14ac:dyDescent="0.25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</row>
    <row r="1508" spans="1:13" x14ac:dyDescent="0.25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</row>
    <row r="1509" spans="1:13" x14ac:dyDescent="0.25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</row>
    <row r="1510" spans="1:13" x14ac:dyDescent="0.25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</row>
    <row r="1511" spans="1:13" x14ac:dyDescent="0.25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 x14ac:dyDescent="0.2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</row>
    <row r="1513" spans="1:13" x14ac:dyDescent="0.25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</row>
    <row r="1514" spans="1:13" x14ac:dyDescent="0.2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</row>
    <row r="1515" spans="1:13" x14ac:dyDescent="0.2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</row>
    <row r="1516" spans="1:13" x14ac:dyDescent="0.25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</row>
    <row r="1517" spans="1:13" x14ac:dyDescent="0.25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 x14ac:dyDescent="0.25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</row>
    <row r="1519" spans="1:13" x14ac:dyDescent="0.2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</row>
    <row r="1520" spans="1:13" x14ac:dyDescent="0.25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 x14ac:dyDescent="0.25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</row>
    <row r="1522" spans="1:13" x14ac:dyDescent="0.25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 x14ac:dyDescent="0.2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 x14ac:dyDescent="0.2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</row>
    <row r="1525" spans="1:13" x14ac:dyDescent="0.2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 x14ac:dyDescent="0.2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 x14ac:dyDescent="0.25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</row>
    <row r="1528" spans="1:13" x14ac:dyDescent="0.2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</row>
    <row r="1529" spans="1:13" x14ac:dyDescent="0.25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</row>
    <row r="1530" spans="1:13" x14ac:dyDescent="0.2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</row>
    <row r="1531" spans="1:13" x14ac:dyDescent="0.25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 x14ac:dyDescent="0.25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</row>
    <row r="1533" spans="1:13" x14ac:dyDescent="0.2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</row>
    <row r="1534" spans="1:13" x14ac:dyDescent="0.25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</row>
    <row r="1535" spans="1:13" x14ac:dyDescent="0.25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 x14ac:dyDescent="0.25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</row>
    <row r="1537" spans="1:13" x14ac:dyDescent="0.2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</row>
    <row r="1538" spans="1:13" x14ac:dyDescent="0.25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</row>
    <row r="1539" spans="1:13" x14ac:dyDescent="0.2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</row>
    <row r="1540" spans="1:13" x14ac:dyDescent="0.2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</row>
    <row r="1541" spans="1:13" x14ac:dyDescent="0.2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 x14ac:dyDescent="0.25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</row>
    <row r="1543" spans="1:13" x14ac:dyDescent="0.2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</row>
    <row r="1544" spans="1:13" x14ac:dyDescent="0.25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</row>
    <row r="1545" spans="1:13" x14ac:dyDescent="0.2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 x14ac:dyDescent="0.25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 x14ac:dyDescent="0.25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 x14ac:dyDescent="0.2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 x14ac:dyDescent="0.2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 x14ac:dyDescent="0.25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</row>
    <row r="1551" spans="1:13" x14ac:dyDescent="0.25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 x14ac:dyDescent="0.25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</row>
    <row r="1553" spans="1:13" x14ac:dyDescent="0.25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 x14ac:dyDescent="0.25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</row>
    <row r="1555" spans="1:13" x14ac:dyDescent="0.25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</row>
    <row r="1556" spans="1:13" x14ac:dyDescent="0.25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 x14ac:dyDescent="0.25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</row>
    <row r="1558" spans="1:13" x14ac:dyDescent="0.2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 x14ac:dyDescent="0.25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</row>
    <row r="1560" spans="1:13" x14ac:dyDescent="0.25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 x14ac:dyDescent="0.25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 x14ac:dyDescent="0.25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</row>
    <row r="1563" spans="1:13" x14ac:dyDescent="0.25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</row>
    <row r="1564" spans="1:13" x14ac:dyDescent="0.25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 x14ac:dyDescent="0.25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</row>
    <row r="1566" spans="1:13" x14ac:dyDescent="0.25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 x14ac:dyDescent="0.25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</row>
    <row r="1568" spans="1:13" x14ac:dyDescent="0.2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</row>
    <row r="1569" spans="1:13" x14ac:dyDescent="0.25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</row>
    <row r="1570" spans="1:13" x14ac:dyDescent="0.25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</row>
    <row r="1571" spans="1:13" x14ac:dyDescent="0.25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 x14ac:dyDescent="0.2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 x14ac:dyDescent="0.2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</row>
    <row r="1574" spans="1:13" x14ac:dyDescent="0.2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 x14ac:dyDescent="0.25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</row>
    <row r="1576" spans="1:13" x14ac:dyDescent="0.2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 x14ac:dyDescent="0.25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</row>
    <row r="1578" spans="1:13" x14ac:dyDescent="0.25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 x14ac:dyDescent="0.25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</row>
    <row r="1580" spans="1:13" x14ac:dyDescent="0.2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 x14ac:dyDescent="0.2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</row>
    <row r="1582" spans="1:13" x14ac:dyDescent="0.2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</row>
    <row r="1583" spans="1:13" x14ac:dyDescent="0.2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</row>
    <row r="1584" spans="1:13" x14ac:dyDescent="0.2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</row>
    <row r="1585" spans="1:13" x14ac:dyDescent="0.2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</row>
    <row r="1586" spans="1:13" x14ac:dyDescent="0.2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</row>
    <row r="1587" spans="1:13" x14ac:dyDescent="0.2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 x14ac:dyDescent="0.2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</row>
    <row r="1589" spans="1:13" x14ac:dyDescent="0.2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 x14ac:dyDescent="0.25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</row>
    <row r="1591" spans="1:13" x14ac:dyDescent="0.25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</row>
    <row r="1592" spans="1:13" x14ac:dyDescent="0.2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 x14ac:dyDescent="0.25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 x14ac:dyDescent="0.25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</row>
    <row r="1595" spans="1:13" x14ac:dyDescent="0.25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 x14ac:dyDescent="0.25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</row>
    <row r="1597" spans="1:13" x14ac:dyDescent="0.25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</row>
    <row r="1598" spans="1:13" x14ac:dyDescent="0.25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</row>
    <row r="1599" spans="1:13" x14ac:dyDescent="0.2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 x14ac:dyDescent="0.2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 x14ac:dyDescent="0.2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</row>
    <row r="1602" spans="1:13" x14ac:dyDescent="0.25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</row>
    <row r="1603" spans="1:13" x14ac:dyDescent="0.25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 x14ac:dyDescent="0.25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 x14ac:dyDescent="0.25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 x14ac:dyDescent="0.2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</row>
    <row r="1607" spans="1:13" x14ac:dyDescent="0.2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</row>
    <row r="1608" spans="1:13" x14ac:dyDescent="0.2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</row>
    <row r="1609" spans="1:13" x14ac:dyDescent="0.2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 x14ac:dyDescent="0.2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 x14ac:dyDescent="0.25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 x14ac:dyDescent="0.2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 x14ac:dyDescent="0.2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</row>
    <row r="1614" spans="1:13" x14ac:dyDescent="0.25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</row>
    <row r="1615" spans="1:13" x14ac:dyDescent="0.25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 x14ac:dyDescent="0.25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 x14ac:dyDescent="0.2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 x14ac:dyDescent="0.2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</row>
    <row r="1619" spans="1:13" x14ac:dyDescent="0.25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</row>
    <row r="1620" spans="1:13" x14ac:dyDescent="0.2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</row>
    <row r="1621" spans="1:13" x14ac:dyDescent="0.25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 x14ac:dyDescent="0.2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 x14ac:dyDescent="0.2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 x14ac:dyDescent="0.2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</row>
    <row r="1625" spans="1:13" x14ac:dyDescent="0.25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</row>
    <row r="1626" spans="1:13" x14ac:dyDescent="0.2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 x14ac:dyDescent="0.25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 x14ac:dyDescent="0.25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 x14ac:dyDescent="0.25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</row>
    <row r="1630" spans="1:13" x14ac:dyDescent="0.2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</row>
    <row r="1631" spans="1:13" x14ac:dyDescent="0.25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</row>
    <row r="1632" spans="1:13" x14ac:dyDescent="0.2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 x14ac:dyDescent="0.2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 x14ac:dyDescent="0.2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 x14ac:dyDescent="0.2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 x14ac:dyDescent="0.25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 x14ac:dyDescent="0.2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 x14ac:dyDescent="0.2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 x14ac:dyDescent="0.25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 x14ac:dyDescent="0.2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</row>
    <row r="1641" spans="1:13" x14ac:dyDescent="0.2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</row>
    <row r="1642" spans="1:13" x14ac:dyDescent="0.2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</row>
    <row r="1643" spans="1:13" x14ac:dyDescent="0.25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 x14ac:dyDescent="0.25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 x14ac:dyDescent="0.2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</row>
    <row r="1646" spans="1:13" x14ac:dyDescent="0.2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</row>
    <row r="1647" spans="1:13" x14ac:dyDescent="0.25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</row>
    <row r="1648" spans="1:13" x14ac:dyDescent="0.2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 x14ac:dyDescent="0.25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 x14ac:dyDescent="0.2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 x14ac:dyDescent="0.25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</row>
    <row r="1652" spans="1:13" x14ac:dyDescent="0.2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</row>
    <row r="1653" spans="1:13" x14ac:dyDescent="0.25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</row>
    <row r="1654" spans="1:13" x14ac:dyDescent="0.2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 x14ac:dyDescent="0.2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</row>
    <row r="1656" spans="1:13" x14ac:dyDescent="0.2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 x14ac:dyDescent="0.2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</row>
    <row r="1658" spans="1:13" x14ac:dyDescent="0.25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 x14ac:dyDescent="0.25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 x14ac:dyDescent="0.25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 x14ac:dyDescent="0.2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</row>
    <row r="1662" spans="1:13" x14ac:dyDescent="0.25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 x14ac:dyDescent="0.2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 x14ac:dyDescent="0.25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</row>
    <row r="1665" spans="1:13" x14ac:dyDescent="0.2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</row>
    <row r="1666" spans="1:13" x14ac:dyDescent="0.2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 x14ac:dyDescent="0.2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</row>
    <row r="1668" spans="1:13" x14ac:dyDescent="0.2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 x14ac:dyDescent="0.2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</row>
    <row r="1670" spans="1:13" x14ac:dyDescent="0.25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 x14ac:dyDescent="0.25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</row>
    <row r="1672" spans="1:13" x14ac:dyDescent="0.25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</row>
    <row r="1673" spans="1:13" x14ac:dyDescent="0.25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</row>
    <row r="1674" spans="1:13" x14ac:dyDescent="0.25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 x14ac:dyDescent="0.25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</row>
    <row r="1676" spans="1:13" x14ac:dyDescent="0.2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 x14ac:dyDescent="0.25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 x14ac:dyDescent="0.2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 x14ac:dyDescent="0.25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</row>
    <row r="1680" spans="1:13" x14ac:dyDescent="0.2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 x14ac:dyDescent="0.2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 x14ac:dyDescent="0.2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</row>
    <row r="1683" spans="1:13" x14ac:dyDescent="0.25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</row>
    <row r="1684" spans="1:13" x14ac:dyDescent="0.25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</row>
    <row r="1685" spans="1:13" x14ac:dyDescent="0.25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 x14ac:dyDescent="0.2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</row>
    <row r="1687" spans="1:13" x14ac:dyDescent="0.2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 x14ac:dyDescent="0.25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 x14ac:dyDescent="0.2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</row>
    <row r="1690" spans="1:13" x14ac:dyDescent="0.25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 x14ac:dyDescent="0.25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</row>
    <row r="1692" spans="1:13" x14ac:dyDescent="0.2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</row>
    <row r="1693" spans="1:13" x14ac:dyDescent="0.25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</row>
    <row r="1694" spans="1:13" x14ac:dyDescent="0.25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</row>
    <row r="1695" spans="1:13" x14ac:dyDescent="0.25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 x14ac:dyDescent="0.2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</row>
    <row r="1697" spans="1:13" x14ac:dyDescent="0.2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 x14ac:dyDescent="0.25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 x14ac:dyDescent="0.2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 x14ac:dyDescent="0.25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 x14ac:dyDescent="0.25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</row>
    <row r="1702" spans="1:13" x14ac:dyDescent="0.2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</row>
    <row r="1703" spans="1:13" x14ac:dyDescent="0.2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 x14ac:dyDescent="0.25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 x14ac:dyDescent="0.25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</row>
    <row r="1706" spans="1:13" x14ac:dyDescent="0.25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</row>
    <row r="1707" spans="1:13" x14ac:dyDescent="0.25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 x14ac:dyDescent="0.2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 x14ac:dyDescent="0.2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</row>
    <row r="1710" spans="1:13" x14ac:dyDescent="0.2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 x14ac:dyDescent="0.2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 x14ac:dyDescent="0.2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</row>
    <row r="1713" spans="1:13" x14ac:dyDescent="0.25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</row>
    <row r="1714" spans="1:13" x14ac:dyDescent="0.25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 x14ac:dyDescent="0.25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</row>
    <row r="1716" spans="1:13" x14ac:dyDescent="0.25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 x14ac:dyDescent="0.2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</row>
    <row r="1718" spans="1:13" x14ac:dyDescent="0.2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</row>
    <row r="1719" spans="1:13" x14ac:dyDescent="0.2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</row>
    <row r="1720" spans="1:13" x14ac:dyDescent="0.2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 x14ac:dyDescent="0.2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 x14ac:dyDescent="0.25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 x14ac:dyDescent="0.2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 x14ac:dyDescent="0.2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 x14ac:dyDescent="0.25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 x14ac:dyDescent="0.2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</row>
    <row r="1727" spans="1:13" x14ac:dyDescent="0.2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 x14ac:dyDescent="0.25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</row>
    <row r="1729" spans="1:13" x14ac:dyDescent="0.25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</row>
    <row r="1730" spans="1:13" x14ac:dyDescent="0.2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 x14ac:dyDescent="0.25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</row>
    <row r="1732" spans="1:13" x14ac:dyDescent="0.2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 x14ac:dyDescent="0.25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</row>
    <row r="1734" spans="1:13" x14ac:dyDescent="0.2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 x14ac:dyDescent="0.25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 x14ac:dyDescent="0.2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</row>
    <row r="1737" spans="1:13" x14ac:dyDescent="0.2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 x14ac:dyDescent="0.25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</row>
    <row r="1739" spans="1:13" x14ac:dyDescent="0.2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 x14ac:dyDescent="0.2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 x14ac:dyDescent="0.25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 x14ac:dyDescent="0.25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 x14ac:dyDescent="0.2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 x14ac:dyDescent="0.2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 x14ac:dyDescent="0.2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 x14ac:dyDescent="0.25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 x14ac:dyDescent="0.25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 x14ac:dyDescent="0.2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 x14ac:dyDescent="0.25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 x14ac:dyDescent="0.2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</row>
    <row r="1751" spans="1:13" x14ac:dyDescent="0.25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 x14ac:dyDescent="0.25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</row>
    <row r="1753" spans="1:13" x14ac:dyDescent="0.25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</row>
    <row r="1754" spans="1:13" x14ac:dyDescent="0.2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</row>
    <row r="1755" spans="1:13" x14ac:dyDescent="0.2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</row>
    <row r="1756" spans="1:13" x14ac:dyDescent="0.25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 x14ac:dyDescent="0.2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</row>
    <row r="1758" spans="1:13" x14ac:dyDescent="0.25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 x14ac:dyDescent="0.25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 x14ac:dyDescent="0.25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 x14ac:dyDescent="0.25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 x14ac:dyDescent="0.2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 x14ac:dyDescent="0.2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 x14ac:dyDescent="0.25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</row>
    <row r="1765" spans="1:13" x14ac:dyDescent="0.2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 x14ac:dyDescent="0.2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 x14ac:dyDescent="0.2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 x14ac:dyDescent="0.25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 x14ac:dyDescent="0.2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 x14ac:dyDescent="0.25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 x14ac:dyDescent="0.2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 x14ac:dyDescent="0.25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 x14ac:dyDescent="0.2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</row>
    <row r="1774" spans="1:13" x14ac:dyDescent="0.25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</row>
    <row r="1775" spans="1:13" x14ac:dyDescent="0.2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</row>
    <row r="1776" spans="1:13" x14ac:dyDescent="0.2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</row>
    <row r="1777" spans="1:13" x14ac:dyDescent="0.2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 x14ac:dyDescent="0.25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</row>
    <row r="1779" spans="1:13" x14ac:dyDescent="0.2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</row>
    <row r="1780" spans="1:13" x14ac:dyDescent="0.25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 x14ac:dyDescent="0.2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 x14ac:dyDescent="0.25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</row>
    <row r="1783" spans="1:13" x14ac:dyDescent="0.2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</row>
    <row r="1784" spans="1:13" x14ac:dyDescent="0.25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 x14ac:dyDescent="0.2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</row>
    <row r="1786" spans="1:13" x14ac:dyDescent="0.2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 x14ac:dyDescent="0.2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</row>
    <row r="1788" spans="1:13" x14ac:dyDescent="0.25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</row>
    <row r="1789" spans="1:13" x14ac:dyDescent="0.2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</row>
    <row r="1790" spans="1:13" x14ac:dyDescent="0.2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 x14ac:dyDescent="0.25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 x14ac:dyDescent="0.25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</row>
    <row r="1793" spans="1:13" x14ac:dyDescent="0.2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 x14ac:dyDescent="0.25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 x14ac:dyDescent="0.25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</row>
    <row r="1796" spans="1:13" x14ac:dyDescent="0.25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</row>
    <row r="1797" spans="1:13" x14ac:dyDescent="0.2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 x14ac:dyDescent="0.2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</row>
    <row r="1799" spans="1:13" x14ac:dyDescent="0.25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</row>
    <row r="1800" spans="1:13" x14ac:dyDescent="0.25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 x14ac:dyDescent="0.2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 x14ac:dyDescent="0.25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</row>
    <row r="1803" spans="1:13" x14ac:dyDescent="0.25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 x14ac:dyDescent="0.2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</row>
    <row r="1805" spans="1:13" x14ac:dyDescent="0.2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</row>
    <row r="1806" spans="1:13" x14ac:dyDescent="0.25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</row>
    <row r="1807" spans="1:13" x14ac:dyDescent="0.2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 x14ac:dyDescent="0.2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</row>
    <row r="1809" spans="1:13" x14ac:dyDescent="0.25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 x14ac:dyDescent="0.25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 x14ac:dyDescent="0.2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 x14ac:dyDescent="0.25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</row>
    <row r="1813" spans="1:13" x14ac:dyDescent="0.25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</row>
    <row r="1814" spans="1:13" x14ac:dyDescent="0.2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 x14ac:dyDescent="0.25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</row>
    <row r="1816" spans="1:13" x14ac:dyDescent="0.25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 x14ac:dyDescent="0.2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</row>
    <row r="1818" spans="1:13" x14ac:dyDescent="0.25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 x14ac:dyDescent="0.25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</row>
    <row r="1820" spans="1:13" x14ac:dyDescent="0.2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 x14ac:dyDescent="0.25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 x14ac:dyDescent="0.2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</row>
    <row r="1823" spans="1:13" x14ac:dyDescent="0.2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 x14ac:dyDescent="0.2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</row>
    <row r="1825" spans="1:13" x14ac:dyDescent="0.25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</row>
    <row r="1826" spans="1:13" x14ac:dyDescent="0.2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</row>
    <row r="1827" spans="1:13" x14ac:dyDescent="0.2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 x14ac:dyDescent="0.25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</row>
    <row r="1829" spans="1:13" x14ac:dyDescent="0.25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 x14ac:dyDescent="0.25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 x14ac:dyDescent="0.25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</row>
    <row r="1832" spans="1:13" x14ac:dyDescent="0.2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</row>
    <row r="1833" spans="1:13" x14ac:dyDescent="0.25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 x14ac:dyDescent="0.25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</row>
    <row r="1835" spans="1:13" x14ac:dyDescent="0.2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 x14ac:dyDescent="0.25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</row>
    <row r="1837" spans="1:13" x14ac:dyDescent="0.25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 x14ac:dyDescent="0.25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 x14ac:dyDescent="0.2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</row>
    <row r="1840" spans="1:13" x14ac:dyDescent="0.2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</row>
    <row r="1841" spans="1:13" x14ac:dyDescent="0.2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 x14ac:dyDescent="0.25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 x14ac:dyDescent="0.25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 x14ac:dyDescent="0.2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 x14ac:dyDescent="0.25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</row>
    <row r="1846" spans="1:13" x14ac:dyDescent="0.25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</row>
    <row r="1847" spans="1:13" x14ac:dyDescent="0.2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 x14ac:dyDescent="0.25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 x14ac:dyDescent="0.2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 x14ac:dyDescent="0.25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</row>
    <row r="1851" spans="1:13" x14ac:dyDescent="0.2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 x14ac:dyDescent="0.2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</row>
    <row r="1853" spans="1:13" x14ac:dyDescent="0.2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</row>
    <row r="1854" spans="1:13" x14ac:dyDescent="0.2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 x14ac:dyDescent="0.2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</row>
    <row r="1856" spans="1:13" x14ac:dyDescent="0.25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</row>
    <row r="1857" spans="1:13" x14ac:dyDescent="0.25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 x14ac:dyDescent="0.2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</row>
    <row r="1859" spans="1:13" x14ac:dyDescent="0.25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</row>
    <row r="1860" spans="1:13" x14ac:dyDescent="0.2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</row>
    <row r="1861" spans="1:13" x14ac:dyDescent="0.25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 x14ac:dyDescent="0.2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</row>
    <row r="1863" spans="1:13" x14ac:dyDescent="0.25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 x14ac:dyDescent="0.25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</row>
    <row r="1865" spans="1:13" x14ac:dyDescent="0.2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</row>
    <row r="1866" spans="1:13" x14ac:dyDescent="0.25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 x14ac:dyDescent="0.25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</row>
    <row r="1868" spans="1:13" x14ac:dyDescent="0.25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</row>
    <row r="1869" spans="1:13" x14ac:dyDescent="0.2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</row>
    <row r="1870" spans="1:13" x14ac:dyDescent="0.25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</row>
    <row r="1871" spans="1:13" x14ac:dyDescent="0.25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</row>
    <row r="1872" spans="1:13" x14ac:dyDescent="0.2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 x14ac:dyDescent="0.2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 x14ac:dyDescent="0.25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</row>
    <row r="1875" spans="1:13" x14ac:dyDescent="0.25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</row>
    <row r="1876" spans="1:13" x14ac:dyDescent="0.25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 x14ac:dyDescent="0.25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 x14ac:dyDescent="0.25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 x14ac:dyDescent="0.2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</row>
    <row r="1880" spans="1:13" x14ac:dyDescent="0.25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 x14ac:dyDescent="0.25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 x14ac:dyDescent="0.2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</row>
    <row r="1883" spans="1:13" x14ac:dyDescent="0.2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</row>
    <row r="1884" spans="1:13" x14ac:dyDescent="0.25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</row>
    <row r="1885" spans="1:13" x14ac:dyDescent="0.25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 x14ac:dyDescent="0.25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 x14ac:dyDescent="0.25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 x14ac:dyDescent="0.2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</row>
    <row r="1889" spans="1:13" x14ac:dyDescent="0.25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</row>
    <row r="1890" spans="1:13" x14ac:dyDescent="0.2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 x14ac:dyDescent="0.25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</row>
    <row r="1892" spans="1:13" x14ac:dyDescent="0.2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</row>
    <row r="1893" spans="1:13" x14ac:dyDescent="0.25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 x14ac:dyDescent="0.25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 x14ac:dyDescent="0.25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 x14ac:dyDescent="0.25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</row>
    <row r="1897" spans="1:13" x14ac:dyDescent="0.25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</row>
    <row r="1898" spans="1:13" x14ac:dyDescent="0.25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</row>
    <row r="1899" spans="1:13" x14ac:dyDescent="0.2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 x14ac:dyDescent="0.2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</row>
    <row r="1901" spans="1:13" x14ac:dyDescent="0.25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</row>
    <row r="1902" spans="1:13" x14ac:dyDescent="0.25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</row>
    <row r="1903" spans="1:13" x14ac:dyDescent="0.25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</row>
    <row r="1904" spans="1:13" x14ac:dyDescent="0.2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</row>
    <row r="1905" spans="1:13" x14ac:dyDescent="0.2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</row>
    <row r="1906" spans="1:13" x14ac:dyDescent="0.25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</row>
    <row r="1907" spans="1:13" x14ac:dyDescent="0.25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</row>
    <row r="1908" spans="1:13" x14ac:dyDescent="0.2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</row>
    <row r="1909" spans="1:13" x14ac:dyDescent="0.25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 x14ac:dyDescent="0.25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</row>
    <row r="1911" spans="1:13" x14ac:dyDescent="0.25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</row>
    <row r="1912" spans="1:13" x14ac:dyDescent="0.25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 x14ac:dyDescent="0.2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 x14ac:dyDescent="0.25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 x14ac:dyDescent="0.25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 x14ac:dyDescent="0.2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 x14ac:dyDescent="0.2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 x14ac:dyDescent="0.25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</row>
    <row r="1919" spans="1:13" x14ac:dyDescent="0.25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 x14ac:dyDescent="0.25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</row>
    <row r="1921" spans="1:13" x14ac:dyDescent="0.2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</row>
    <row r="1922" spans="1:13" x14ac:dyDescent="0.25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 x14ac:dyDescent="0.25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 x14ac:dyDescent="0.2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</row>
    <row r="1925" spans="1:13" x14ac:dyDescent="0.25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 x14ac:dyDescent="0.25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</row>
    <row r="1927" spans="1:13" x14ac:dyDescent="0.25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 x14ac:dyDescent="0.25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</row>
    <row r="1929" spans="1:13" x14ac:dyDescent="0.25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</row>
    <row r="1930" spans="1:13" x14ac:dyDescent="0.2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</row>
    <row r="1931" spans="1:13" x14ac:dyDescent="0.2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</row>
    <row r="1932" spans="1:13" x14ac:dyDescent="0.25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 x14ac:dyDescent="0.25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 x14ac:dyDescent="0.2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</row>
    <row r="1935" spans="1:13" x14ac:dyDescent="0.25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 x14ac:dyDescent="0.2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</row>
    <row r="1937" spans="1:13" x14ac:dyDescent="0.25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 x14ac:dyDescent="0.25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</row>
    <row r="1939" spans="1:13" x14ac:dyDescent="0.2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 x14ac:dyDescent="0.2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 x14ac:dyDescent="0.2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</row>
    <row r="1942" spans="1:13" x14ac:dyDescent="0.25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 x14ac:dyDescent="0.2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</row>
    <row r="1944" spans="1:13" x14ac:dyDescent="0.2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</row>
    <row r="1945" spans="1:13" x14ac:dyDescent="0.25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 x14ac:dyDescent="0.2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 x14ac:dyDescent="0.25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</row>
    <row r="1948" spans="1:13" x14ac:dyDescent="0.2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</row>
    <row r="1949" spans="1:13" x14ac:dyDescent="0.2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</row>
    <row r="1950" spans="1:13" x14ac:dyDescent="0.2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</row>
    <row r="1951" spans="1:13" x14ac:dyDescent="0.2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 x14ac:dyDescent="0.2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</row>
    <row r="1953" spans="1:13" x14ac:dyDescent="0.2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 x14ac:dyDescent="0.2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 x14ac:dyDescent="0.2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</row>
    <row r="1956" spans="1:13" x14ac:dyDescent="0.2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</row>
    <row r="1957" spans="1:13" x14ac:dyDescent="0.2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</row>
    <row r="1958" spans="1:13" x14ac:dyDescent="0.2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</row>
    <row r="1959" spans="1:13" x14ac:dyDescent="0.25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</row>
    <row r="1960" spans="1:13" x14ac:dyDescent="0.2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 x14ac:dyDescent="0.2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</row>
    <row r="1962" spans="1:13" x14ac:dyDescent="0.2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</row>
    <row r="1963" spans="1:13" x14ac:dyDescent="0.2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 x14ac:dyDescent="0.2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</row>
    <row r="1965" spans="1:13" x14ac:dyDescent="0.2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 x14ac:dyDescent="0.2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</row>
    <row r="1967" spans="1:13" x14ac:dyDescent="0.25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 x14ac:dyDescent="0.2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</row>
    <row r="1969" spans="1:13" x14ac:dyDescent="0.2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</row>
    <row r="1970" spans="1:13" x14ac:dyDescent="0.25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 x14ac:dyDescent="0.25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 x14ac:dyDescent="0.2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 x14ac:dyDescent="0.25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 x14ac:dyDescent="0.2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 x14ac:dyDescent="0.2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 x14ac:dyDescent="0.25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</row>
    <row r="1977" spans="1:13" x14ac:dyDescent="0.2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</row>
    <row r="1978" spans="1:13" x14ac:dyDescent="0.2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</row>
    <row r="1979" spans="1:13" x14ac:dyDescent="0.25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 x14ac:dyDescent="0.25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</row>
    <row r="1981" spans="1:13" x14ac:dyDescent="0.2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 x14ac:dyDescent="0.25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</row>
    <row r="1983" spans="1:13" x14ac:dyDescent="0.25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 x14ac:dyDescent="0.25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</row>
    <row r="1985" spans="1:13" x14ac:dyDescent="0.2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</row>
    <row r="1986" spans="1:13" x14ac:dyDescent="0.2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 x14ac:dyDescent="0.25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 x14ac:dyDescent="0.25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</row>
    <row r="1989" spans="1:13" x14ac:dyDescent="0.2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</row>
    <row r="1990" spans="1:13" x14ac:dyDescent="0.2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</row>
    <row r="1991" spans="1:13" x14ac:dyDescent="0.2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</row>
    <row r="1992" spans="1:13" x14ac:dyDescent="0.25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 x14ac:dyDescent="0.25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 x14ac:dyDescent="0.2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 x14ac:dyDescent="0.2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</row>
    <row r="1996" spans="1:13" x14ac:dyDescent="0.25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</row>
    <row r="1997" spans="1:13" x14ac:dyDescent="0.2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 x14ac:dyDescent="0.25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 x14ac:dyDescent="0.2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 x14ac:dyDescent="0.2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 x14ac:dyDescent="0.25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</row>
    <row r="2002" spans="1:13" x14ac:dyDescent="0.2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 x14ac:dyDescent="0.25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</row>
    <row r="2004" spans="1:13" x14ac:dyDescent="0.2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</row>
    <row r="2005" spans="1:13" x14ac:dyDescent="0.25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 x14ac:dyDescent="0.25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</row>
    <row r="2007" spans="1:13" x14ac:dyDescent="0.2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 x14ac:dyDescent="0.25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 x14ac:dyDescent="0.25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 x14ac:dyDescent="0.2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 x14ac:dyDescent="0.2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</row>
    <row r="2012" spans="1:13" x14ac:dyDescent="0.25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 x14ac:dyDescent="0.2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 x14ac:dyDescent="0.25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</row>
    <row r="2015" spans="1:13" x14ac:dyDescent="0.2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</row>
    <row r="2016" spans="1:13" x14ac:dyDescent="0.2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 x14ac:dyDescent="0.25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 x14ac:dyDescent="0.2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 x14ac:dyDescent="0.2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</row>
    <row r="2020" spans="1:13" x14ac:dyDescent="0.2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</row>
    <row r="2021" spans="1:13" x14ac:dyDescent="0.25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</row>
    <row r="2022" spans="1:13" x14ac:dyDescent="0.2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</row>
    <row r="2023" spans="1:13" x14ac:dyDescent="0.2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 x14ac:dyDescent="0.2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</row>
    <row r="2025" spans="1:13" x14ac:dyDescent="0.25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</row>
    <row r="2026" spans="1:13" x14ac:dyDescent="0.25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</row>
    <row r="2027" spans="1:13" x14ac:dyDescent="0.25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 x14ac:dyDescent="0.2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 x14ac:dyDescent="0.25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</row>
    <row r="2030" spans="1:13" x14ac:dyDescent="0.2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</row>
    <row r="2031" spans="1:13" x14ac:dyDescent="0.2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 x14ac:dyDescent="0.2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</row>
    <row r="2033" spans="1:13" x14ac:dyDescent="0.25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 x14ac:dyDescent="0.2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 x14ac:dyDescent="0.25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</row>
    <row r="2036" spans="1:13" x14ac:dyDescent="0.2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</row>
    <row r="2037" spans="1:13" x14ac:dyDescent="0.25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 x14ac:dyDescent="0.2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 x14ac:dyDescent="0.25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</row>
    <row r="2040" spans="1:13" x14ac:dyDescent="0.2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</row>
    <row r="2041" spans="1:13" x14ac:dyDescent="0.2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 x14ac:dyDescent="0.2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 x14ac:dyDescent="0.25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</row>
    <row r="2044" spans="1:13" x14ac:dyDescent="0.25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 x14ac:dyDescent="0.25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 x14ac:dyDescent="0.25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 x14ac:dyDescent="0.2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</row>
    <row r="2048" spans="1:13" x14ac:dyDescent="0.2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</row>
    <row r="2049" spans="1:13" x14ac:dyDescent="0.25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</row>
    <row r="2050" spans="1:13" x14ac:dyDescent="0.2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 x14ac:dyDescent="0.2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</row>
    <row r="2052" spans="1:13" x14ac:dyDescent="0.2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</row>
    <row r="2053" spans="1:13" x14ac:dyDescent="0.2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</row>
    <row r="2054" spans="1:13" x14ac:dyDescent="0.2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 x14ac:dyDescent="0.25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 x14ac:dyDescent="0.25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</row>
    <row r="2057" spans="1:13" x14ac:dyDescent="0.2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 x14ac:dyDescent="0.2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</row>
    <row r="2059" spans="1:13" x14ac:dyDescent="0.2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 x14ac:dyDescent="0.25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</row>
    <row r="2061" spans="1:13" x14ac:dyDescent="0.2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 x14ac:dyDescent="0.2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</row>
    <row r="2063" spans="1:13" x14ac:dyDescent="0.2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 x14ac:dyDescent="0.2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</row>
    <row r="2065" spans="1:13" x14ac:dyDescent="0.2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 x14ac:dyDescent="0.2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</row>
    <row r="2067" spans="1:13" x14ac:dyDescent="0.2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</row>
    <row r="2068" spans="1:13" x14ac:dyDescent="0.2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</row>
    <row r="2069" spans="1:13" x14ac:dyDescent="0.25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</row>
    <row r="2070" spans="1:13" x14ac:dyDescent="0.2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 x14ac:dyDescent="0.25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</row>
    <row r="2072" spans="1:13" x14ac:dyDescent="0.25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 x14ac:dyDescent="0.25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 x14ac:dyDescent="0.25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</row>
    <row r="2075" spans="1:13" x14ac:dyDescent="0.2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 x14ac:dyDescent="0.25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</row>
    <row r="2077" spans="1:13" x14ac:dyDescent="0.25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</row>
    <row r="2078" spans="1:13" x14ac:dyDescent="0.2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</row>
    <row r="2079" spans="1:13" x14ac:dyDescent="0.2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</row>
    <row r="2080" spans="1:13" x14ac:dyDescent="0.25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</row>
    <row r="2081" spans="1:13" x14ac:dyDescent="0.2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 x14ac:dyDescent="0.2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 x14ac:dyDescent="0.25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</row>
    <row r="2084" spans="1:13" x14ac:dyDescent="0.25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 x14ac:dyDescent="0.25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 x14ac:dyDescent="0.2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 x14ac:dyDescent="0.2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</row>
    <row r="2088" spans="1:13" x14ac:dyDescent="0.2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 x14ac:dyDescent="0.2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</row>
    <row r="2090" spans="1:13" x14ac:dyDescent="0.25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 x14ac:dyDescent="0.25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</row>
    <row r="2092" spans="1:13" x14ac:dyDescent="0.2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 x14ac:dyDescent="0.25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</row>
    <row r="2094" spans="1:13" x14ac:dyDescent="0.25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</row>
    <row r="2095" spans="1:13" x14ac:dyDescent="0.25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 x14ac:dyDescent="0.25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</row>
    <row r="2097" spans="1:13" x14ac:dyDescent="0.2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</row>
    <row r="2098" spans="1:13" x14ac:dyDescent="0.2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</row>
    <row r="2099" spans="1:13" x14ac:dyDescent="0.25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 x14ac:dyDescent="0.2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 x14ac:dyDescent="0.25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</row>
    <row r="2102" spans="1:13" x14ac:dyDescent="0.2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 x14ac:dyDescent="0.25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 x14ac:dyDescent="0.25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</row>
    <row r="2105" spans="1:13" x14ac:dyDescent="0.2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</row>
    <row r="2106" spans="1:13" x14ac:dyDescent="0.25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 x14ac:dyDescent="0.25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 x14ac:dyDescent="0.25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</row>
    <row r="2109" spans="1:13" x14ac:dyDescent="0.2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</row>
    <row r="2110" spans="1:13" x14ac:dyDescent="0.2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</row>
    <row r="2111" spans="1:13" x14ac:dyDescent="0.2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</row>
    <row r="2112" spans="1:13" x14ac:dyDescent="0.2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 x14ac:dyDescent="0.2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</row>
    <row r="2114" spans="1:13" x14ac:dyDescent="0.2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 x14ac:dyDescent="0.2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</row>
    <row r="2116" spans="1:13" x14ac:dyDescent="0.2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 x14ac:dyDescent="0.25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 x14ac:dyDescent="0.25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</row>
    <row r="2119" spans="1:13" x14ac:dyDescent="0.25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</row>
    <row r="2120" spans="1:13" x14ac:dyDescent="0.2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</row>
    <row r="2121" spans="1:13" x14ac:dyDescent="0.25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</row>
    <row r="2122" spans="1:13" x14ac:dyDescent="0.25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 x14ac:dyDescent="0.25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</row>
    <row r="2124" spans="1:13" x14ac:dyDescent="0.2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 x14ac:dyDescent="0.25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</row>
    <row r="2126" spans="1:13" x14ac:dyDescent="0.2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 x14ac:dyDescent="0.25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 x14ac:dyDescent="0.25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 x14ac:dyDescent="0.2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 x14ac:dyDescent="0.25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</row>
    <row r="2131" spans="1:13" x14ac:dyDescent="0.2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</row>
    <row r="2132" spans="1:13" x14ac:dyDescent="0.2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 x14ac:dyDescent="0.25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 x14ac:dyDescent="0.25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 x14ac:dyDescent="0.2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</row>
    <row r="2136" spans="1:13" x14ac:dyDescent="0.2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 x14ac:dyDescent="0.25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 x14ac:dyDescent="0.2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 x14ac:dyDescent="0.25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 x14ac:dyDescent="0.25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</row>
    <row r="2141" spans="1:13" x14ac:dyDescent="0.2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</row>
    <row r="2142" spans="1:13" x14ac:dyDescent="0.2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 x14ac:dyDescent="0.25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</row>
    <row r="2144" spans="1:13" x14ac:dyDescent="0.2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</row>
    <row r="2145" spans="1:13" x14ac:dyDescent="0.2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 x14ac:dyDescent="0.25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 x14ac:dyDescent="0.2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</row>
    <row r="2148" spans="1:13" x14ac:dyDescent="0.2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</row>
    <row r="2149" spans="1:13" x14ac:dyDescent="0.25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</row>
    <row r="2150" spans="1:13" x14ac:dyDescent="0.25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 x14ac:dyDescent="0.25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 x14ac:dyDescent="0.25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</row>
    <row r="2153" spans="1:13" x14ac:dyDescent="0.25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</row>
    <row r="2154" spans="1:13" x14ac:dyDescent="0.25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 x14ac:dyDescent="0.25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</row>
    <row r="2156" spans="1:13" x14ac:dyDescent="0.25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</row>
    <row r="2157" spans="1:13" x14ac:dyDescent="0.25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</row>
    <row r="2158" spans="1:13" x14ac:dyDescent="0.2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</row>
    <row r="2159" spans="1:13" x14ac:dyDescent="0.25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 x14ac:dyDescent="0.25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 x14ac:dyDescent="0.25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</row>
    <row r="2162" spans="1:13" x14ac:dyDescent="0.25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 x14ac:dyDescent="0.25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</row>
    <row r="2164" spans="1:13" x14ac:dyDescent="0.25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 x14ac:dyDescent="0.2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</row>
    <row r="2166" spans="1:13" x14ac:dyDescent="0.2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 x14ac:dyDescent="0.2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</row>
    <row r="2168" spans="1:13" x14ac:dyDescent="0.2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 x14ac:dyDescent="0.25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 x14ac:dyDescent="0.2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 x14ac:dyDescent="0.2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 x14ac:dyDescent="0.25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 x14ac:dyDescent="0.25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 x14ac:dyDescent="0.25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 x14ac:dyDescent="0.25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 x14ac:dyDescent="0.25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</row>
    <row r="2177" spans="1:13" x14ac:dyDescent="0.2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</row>
    <row r="2178" spans="1:13" x14ac:dyDescent="0.2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 x14ac:dyDescent="0.2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</row>
    <row r="2180" spans="1:13" x14ac:dyDescent="0.25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 x14ac:dyDescent="0.2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 x14ac:dyDescent="0.2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 x14ac:dyDescent="0.2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 x14ac:dyDescent="0.2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</row>
    <row r="2185" spans="1:13" x14ac:dyDescent="0.2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</row>
    <row r="2186" spans="1:13" x14ac:dyDescent="0.25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</row>
    <row r="2187" spans="1:13" x14ac:dyDescent="0.25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</row>
    <row r="2188" spans="1:13" x14ac:dyDescent="0.25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</row>
    <row r="2189" spans="1:13" x14ac:dyDescent="0.2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</row>
    <row r="2190" spans="1:13" x14ac:dyDescent="0.2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</row>
    <row r="2191" spans="1:13" x14ac:dyDescent="0.25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</row>
    <row r="2192" spans="1:13" x14ac:dyDescent="0.25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 x14ac:dyDescent="0.2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 x14ac:dyDescent="0.2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</row>
    <row r="2195" spans="1:13" x14ac:dyDescent="0.2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</row>
    <row r="2196" spans="1:13" x14ac:dyDescent="0.2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</row>
    <row r="2197" spans="1:13" x14ac:dyDescent="0.25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 x14ac:dyDescent="0.25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</row>
    <row r="2199" spans="1:13" x14ac:dyDescent="0.25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 x14ac:dyDescent="0.2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 x14ac:dyDescent="0.25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</row>
    <row r="2202" spans="1:13" x14ac:dyDescent="0.2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</row>
    <row r="2203" spans="1:13" x14ac:dyDescent="0.25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 x14ac:dyDescent="0.2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</row>
    <row r="2205" spans="1:13" x14ac:dyDescent="0.25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 x14ac:dyDescent="0.25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</row>
    <row r="2207" spans="1:13" x14ac:dyDescent="0.25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 x14ac:dyDescent="0.2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 x14ac:dyDescent="0.25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</row>
    <row r="2210" spans="1:13" x14ac:dyDescent="0.25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</row>
    <row r="2211" spans="1:13" x14ac:dyDescent="0.2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</row>
    <row r="2212" spans="1:13" x14ac:dyDescent="0.25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 x14ac:dyDescent="0.25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 x14ac:dyDescent="0.25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 x14ac:dyDescent="0.2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 x14ac:dyDescent="0.2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 x14ac:dyDescent="0.2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</row>
    <row r="2218" spans="1:13" x14ac:dyDescent="0.25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 x14ac:dyDescent="0.25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</row>
    <row r="2220" spans="1:13" x14ac:dyDescent="0.2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</row>
    <row r="2221" spans="1:13" x14ac:dyDescent="0.2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</row>
    <row r="2222" spans="1:13" x14ac:dyDescent="0.25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</row>
    <row r="2223" spans="1:13" x14ac:dyDescent="0.2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 x14ac:dyDescent="0.2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 x14ac:dyDescent="0.25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 x14ac:dyDescent="0.25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</row>
    <row r="2227" spans="1:13" x14ac:dyDescent="0.25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 x14ac:dyDescent="0.2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 x14ac:dyDescent="0.25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</row>
    <row r="2230" spans="1:13" x14ac:dyDescent="0.25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 x14ac:dyDescent="0.2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 x14ac:dyDescent="0.25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</row>
    <row r="2233" spans="1:13" x14ac:dyDescent="0.25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</row>
    <row r="2234" spans="1:13" x14ac:dyDescent="0.25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 x14ac:dyDescent="0.25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</row>
    <row r="2236" spans="1:13" x14ac:dyDescent="0.25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</row>
    <row r="2237" spans="1:13" x14ac:dyDescent="0.2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</row>
    <row r="2238" spans="1:13" x14ac:dyDescent="0.25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 x14ac:dyDescent="0.25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 x14ac:dyDescent="0.25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</row>
    <row r="2241" spans="1:13" x14ac:dyDescent="0.2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</row>
    <row r="2242" spans="1:13" x14ac:dyDescent="0.25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</row>
    <row r="2243" spans="1:13" x14ac:dyDescent="0.25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 x14ac:dyDescent="0.2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</row>
    <row r="2245" spans="1:13" x14ac:dyDescent="0.2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</row>
    <row r="2246" spans="1:13" x14ac:dyDescent="0.2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 x14ac:dyDescent="0.2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</row>
    <row r="2248" spans="1:13" x14ac:dyDescent="0.25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</row>
    <row r="2249" spans="1:13" x14ac:dyDescent="0.2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 x14ac:dyDescent="0.2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</row>
    <row r="2251" spans="1:13" x14ac:dyDescent="0.2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 x14ac:dyDescent="0.2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 x14ac:dyDescent="0.25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 x14ac:dyDescent="0.25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 x14ac:dyDescent="0.2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 x14ac:dyDescent="0.25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</row>
    <row r="2257" spans="1:13" x14ac:dyDescent="0.2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</row>
    <row r="2258" spans="1:13" x14ac:dyDescent="0.25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</row>
    <row r="2259" spans="1:13" x14ac:dyDescent="0.2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</row>
    <row r="2260" spans="1:13" x14ac:dyDescent="0.25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</row>
    <row r="2261" spans="1:13" x14ac:dyDescent="0.2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</row>
    <row r="2262" spans="1:13" x14ac:dyDescent="0.25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 x14ac:dyDescent="0.25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</row>
    <row r="2264" spans="1:13" x14ac:dyDescent="0.25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 x14ac:dyDescent="0.2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</row>
    <row r="2266" spans="1:13" x14ac:dyDescent="0.2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</row>
    <row r="2267" spans="1:13" x14ac:dyDescent="0.25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 x14ac:dyDescent="0.25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</row>
    <row r="2269" spans="1:13" x14ac:dyDescent="0.25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</row>
    <row r="2270" spans="1:13" x14ac:dyDescent="0.2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 x14ac:dyDescent="0.25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</row>
    <row r="2272" spans="1:13" x14ac:dyDescent="0.25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</row>
    <row r="2273" spans="1:13" x14ac:dyDescent="0.25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</row>
    <row r="2274" spans="1:13" x14ac:dyDescent="0.2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 x14ac:dyDescent="0.25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 x14ac:dyDescent="0.2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 x14ac:dyDescent="0.25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</row>
    <row r="2278" spans="1:13" x14ac:dyDescent="0.2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</row>
    <row r="2279" spans="1:13" x14ac:dyDescent="0.2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</row>
    <row r="2280" spans="1:13" x14ac:dyDescent="0.25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 x14ac:dyDescent="0.2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</row>
    <row r="2282" spans="1:13" x14ac:dyDescent="0.2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</row>
    <row r="2283" spans="1:13" x14ac:dyDescent="0.25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</row>
    <row r="2284" spans="1:13" x14ac:dyDescent="0.25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</row>
    <row r="2285" spans="1:13" x14ac:dyDescent="0.2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</row>
    <row r="2286" spans="1:13" x14ac:dyDescent="0.25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</row>
    <row r="2287" spans="1:13" x14ac:dyDescent="0.25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</row>
    <row r="2288" spans="1:13" x14ac:dyDescent="0.25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</row>
    <row r="2289" spans="1:13" x14ac:dyDescent="0.25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 x14ac:dyDescent="0.25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</row>
    <row r="2291" spans="1:13" x14ac:dyDescent="0.25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 x14ac:dyDescent="0.2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 x14ac:dyDescent="0.2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</row>
    <row r="2294" spans="1:13" x14ac:dyDescent="0.25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</row>
    <row r="2295" spans="1:13" x14ac:dyDescent="0.25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</row>
    <row r="2296" spans="1:13" x14ac:dyDescent="0.25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</row>
    <row r="2297" spans="1:13" x14ac:dyDescent="0.2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 x14ac:dyDescent="0.2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 x14ac:dyDescent="0.2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</row>
    <row r="2300" spans="1:13" x14ac:dyDescent="0.2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 x14ac:dyDescent="0.25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</row>
    <row r="2302" spans="1:13" x14ac:dyDescent="0.2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 x14ac:dyDescent="0.25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</row>
    <row r="2304" spans="1:13" x14ac:dyDescent="0.25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 x14ac:dyDescent="0.2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</row>
    <row r="2306" spans="1:13" x14ac:dyDescent="0.25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</row>
    <row r="2307" spans="1:13" x14ac:dyDescent="0.25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 x14ac:dyDescent="0.25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 x14ac:dyDescent="0.25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 x14ac:dyDescent="0.2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 x14ac:dyDescent="0.2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</row>
    <row r="2312" spans="1:13" x14ac:dyDescent="0.2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 x14ac:dyDescent="0.2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 x14ac:dyDescent="0.25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 x14ac:dyDescent="0.2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 x14ac:dyDescent="0.2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</row>
    <row r="2317" spans="1:13" x14ac:dyDescent="0.2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</row>
    <row r="2318" spans="1:13" x14ac:dyDescent="0.2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</row>
    <row r="2319" spans="1:13" x14ac:dyDescent="0.2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 x14ac:dyDescent="0.25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</row>
    <row r="2321" spans="1:13" x14ac:dyDescent="0.25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 x14ac:dyDescent="0.25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</row>
    <row r="2323" spans="1:13" x14ac:dyDescent="0.2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</row>
    <row r="2324" spans="1:13" x14ac:dyDescent="0.2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</row>
    <row r="2325" spans="1:13" x14ac:dyDescent="0.2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</row>
    <row r="2326" spans="1:13" x14ac:dyDescent="0.25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</row>
    <row r="2327" spans="1:13" x14ac:dyDescent="0.2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 x14ac:dyDescent="0.2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</row>
    <row r="2329" spans="1:13" x14ac:dyDescent="0.25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</row>
    <row r="2330" spans="1:13" x14ac:dyDescent="0.25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 x14ac:dyDescent="0.25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</row>
    <row r="2332" spans="1:13" x14ac:dyDescent="0.2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</row>
    <row r="2333" spans="1:13" x14ac:dyDescent="0.25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 x14ac:dyDescent="0.2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</row>
    <row r="2335" spans="1:13" x14ac:dyDescent="0.25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</row>
    <row r="2336" spans="1:13" x14ac:dyDescent="0.25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</row>
    <row r="2337" spans="1:13" x14ac:dyDescent="0.2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</row>
    <row r="2338" spans="1:13" x14ac:dyDescent="0.25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</row>
    <row r="2339" spans="1:13" x14ac:dyDescent="0.2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</row>
    <row r="2340" spans="1:13" x14ac:dyDescent="0.25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 x14ac:dyDescent="0.25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 x14ac:dyDescent="0.25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</row>
    <row r="2343" spans="1:13" x14ac:dyDescent="0.2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</row>
    <row r="2344" spans="1:13" x14ac:dyDescent="0.25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 x14ac:dyDescent="0.25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</row>
    <row r="2346" spans="1:13" x14ac:dyDescent="0.25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</row>
    <row r="2347" spans="1:13" x14ac:dyDescent="0.2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</row>
    <row r="2348" spans="1:13" x14ac:dyDescent="0.2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</row>
    <row r="2349" spans="1:13" x14ac:dyDescent="0.25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 x14ac:dyDescent="0.2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</row>
    <row r="2351" spans="1:13" x14ac:dyDescent="0.2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</row>
    <row r="2352" spans="1:13" x14ac:dyDescent="0.2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 x14ac:dyDescent="0.2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</row>
    <row r="2354" spans="1:13" x14ac:dyDescent="0.25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</row>
    <row r="2355" spans="1:13" x14ac:dyDescent="0.2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 x14ac:dyDescent="0.2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</row>
    <row r="2357" spans="1:13" x14ac:dyDescent="0.2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</row>
    <row r="2358" spans="1:13" x14ac:dyDescent="0.25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 x14ac:dyDescent="0.2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</row>
    <row r="2360" spans="1:13" x14ac:dyDescent="0.2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</row>
    <row r="2361" spans="1:13" x14ac:dyDescent="0.2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 x14ac:dyDescent="0.2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 x14ac:dyDescent="0.25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 x14ac:dyDescent="0.25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</row>
    <row r="2365" spans="1:13" x14ac:dyDescent="0.2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</row>
    <row r="2366" spans="1:13" x14ac:dyDescent="0.2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</row>
    <row r="2367" spans="1:13" x14ac:dyDescent="0.25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 x14ac:dyDescent="0.25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</row>
    <row r="2369" spans="1:13" x14ac:dyDescent="0.25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 x14ac:dyDescent="0.2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</row>
    <row r="2371" spans="1:13" x14ac:dyDescent="0.25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</row>
    <row r="2372" spans="1:13" x14ac:dyDescent="0.25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</row>
    <row r="2373" spans="1:13" x14ac:dyDescent="0.2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 x14ac:dyDescent="0.2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 x14ac:dyDescent="0.2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 x14ac:dyDescent="0.25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</row>
    <row r="2377" spans="1:13" x14ac:dyDescent="0.25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 x14ac:dyDescent="0.2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 x14ac:dyDescent="0.25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 x14ac:dyDescent="0.25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</row>
    <row r="2381" spans="1:13" x14ac:dyDescent="0.2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</row>
    <row r="2382" spans="1:13" x14ac:dyDescent="0.2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 x14ac:dyDescent="0.25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</row>
    <row r="2384" spans="1:13" x14ac:dyDescent="0.2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</row>
    <row r="2385" spans="1:13" x14ac:dyDescent="0.2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</row>
    <row r="2386" spans="1:13" x14ac:dyDescent="0.2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</row>
    <row r="2387" spans="1:13" x14ac:dyDescent="0.2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 x14ac:dyDescent="0.25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</row>
    <row r="2389" spans="1:13" x14ac:dyDescent="0.2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</row>
    <row r="2390" spans="1:13" x14ac:dyDescent="0.25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</row>
    <row r="2391" spans="1:13" x14ac:dyDescent="0.2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</row>
    <row r="2392" spans="1:13" x14ac:dyDescent="0.2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</row>
    <row r="2393" spans="1:13" x14ac:dyDescent="0.2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</row>
    <row r="2394" spans="1:13" x14ac:dyDescent="0.25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</row>
    <row r="2395" spans="1:13" x14ac:dyDescent="0.25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</row>
    <row r="2396" spans="1:13" x14ac:dyDescent="0.2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</row>
    <row r="2397" spans="1:13" x14ac:dyDescent="0.2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</row>
    <row r="2398" spans="1:13" x14ac:dyDescent="0.25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 x14ac:dyDescent="0.2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</row>
    <row r="2400" spans="1:13" x14ac:dyDescent="0.25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</row>
    <row r="2401" spans="1:13" x14ac:dyDescent="0.2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 x14ac:dyDescent="0.25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</row>
    <row r="2403" spans="1:13" x14ac:dyDescent="0.2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</row>
    <row r="2404" spans="1:13" x14ac:dyDescent="0.25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</row>
    <row r="2405" spans="1:13" x14ac:dyDescent="0.25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</row>
    <row r="2406" spans="1:13" x14ac:dyDescent="0.2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</row>
    <row r="2407" spans="1:13" x14ac:dyDescent="0.2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</row>
    <row r="2408" spans="1:13" x14ac:dyDescent="0.25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</row>
    <row r="2409" spans="1:13" x14ac:dyDescent="0.2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 x14ac:dyDescent="0.25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 x14ac:dyDescent="0.25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 x14ac:dyDescent="0.25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</row>
    <row r="2413" spans="1:13" x14ac:dyDescent="0.25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</row>
    <row r="2414" spans="1:13" x14ac:dyDescent="0.2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 x14ac:dyDescent="0.25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</row>
    <row r="2416" spans="1:13" x14ac:dyDescent="0.25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 x14ac:dyDescent="0.25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</row>
    <row r="2418" spans="1:13" x14ac:dyDescent="0.2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</row>
    <row r="2419" spans="1:13" x14ac:dyDescent="0.25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 x14ac:dyDescent="0.25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</row>
    <row r="2421" spans="1:13" x14ac:dyDescent="0.2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</row>
    <row r="2422" spans="1:13" x14ac:dyDescent="0.25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</row>
    <row r="2423" spans="1:13" x14ac:dyDescent="0.2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 x14ac:dyDescent="0.25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</row>
    <row r="2425" spans="1:13" x14ac:dyDescent="0.2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 x14ac:dyDescent="0.2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 x14ac:dyDescent="0.2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 x14ac:dyDescent="0.25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 x14ac:dyDescent="0.2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</row>
    <row r="2430" spans="1:13" x14ac:dyDescent="0.2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</row>
    <row r="2431" spans="1:13" x14ac:dyDescent="0.25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 x14ac:dyDescent="0.25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</row>
    <row r="2433" spans="1:13" x14ac:dyDescent="0.25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</row>
    <row r="2434" spans="1:13" x14ac:dyDescent="0.25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 x14ac:dyDescent="0.25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</row>
    <row r="2436" spans="1:13" x14ac:dyDescent="0.2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</row>
    <row r="2437" spans="1:13" x14ac:dyDescent="0.25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 x14ac:dyDescent="0.25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 x14ac:dyDescent="0.2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 x14ac:dyDescent="0.25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</row>
    <row r="2441" spans="1:13" x14ac:dyDescent="0.25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</row>
    <row r="2442" spans="1:13" x14ac:dyDescent="0.2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</row>
    <row r="2443" spans="1:13" x14ac:dyDescent="0.2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</row>
    <row r="2444" spans="1:13" x14ac:dyDescent="0.2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</row>
    <row r="2445" spans="1:13" x14ac:dyDescent="0.2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 x14ac:dyDescent="0.2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 x14ac:dyDescent="0.25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</row>
    <row r="2448" spans="1:13" x14ac:dyDescent="0.25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</row>
    <row r="2449" spans="1:13" x14ac:dyDescent="0.25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</row>
    <row r="2450" spans="1:13" x14ac:dyDescent="0.25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</row>
    <row r="2451" spans="1:13" x14ac:dyDescent="0.25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 x14ac:dyDescent="0.2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 x14ac:dyDescent="0.2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 x14ac:dyDescent="0.2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 x14ac:dyDescent="0.2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 x14ac:dyDescent="0.2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 x14ac:dyDescent="0.2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 x14ac:dyDescent="0.2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</row>
    <row r="2459" spans="1:13" x14ac:dyDescent="0.2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</row>
    <row r="2460" spans="1:13" x14ac:dyDescent="0.25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</row>
    <row r="2461" spans="1:13" x14ac:dyDescent="0.25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</row>
    <row r="2462" spans="1:13" x14ac:dyDescent="0.2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 x14ac:dyDescent="0.25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 x14ac:dyDescent="0.2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 x14ac:dyDescent="0.2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</row>
    <row r="2466" spans="1:13" x14ac:dyDescent="0.2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 x14ac:dyDescent="0.25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</row>
    <row r="2468" spans="1:13" x14ac:dyDescent="0.2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</row>
    <row r="2469" spans="1:13" x14ac:dyDescent="0.2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</row>
    <row r="2470" spans="1:13" x14ac:dyDescent="0.2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</row>
    <row r="2471" spans="1:13" x14ac:dyDescent="0.25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</row>
    <row r="2472" spans="1:13" x14ac:dyDescent="0.2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 x14ac:dyDescent="0.2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 x14ac:dyDescent="0.25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 x14ac:dyDescent="0.2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</row>
    <row r="2476" spans="1:13" x14ac:dyDescent="0.2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 x14ac:dyDescent="0.2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 x14ac:dyDescent="0.25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 x14ac:dyDescent="0.25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</row>
    <row r="2480" spans="1:13" x14ac:dyDescent="0.25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 x14ac:dyDescent="0.2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</row>
    <row r="2482" spans="1:13" x14ac:dyDescent="0.25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</row>
    <row r="2483" spans="1:13" x14ac:dyDescent="0.25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 x14ac:dyDescent="0.2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</row>
    <row r="2485" spans="1:13" x14ac:dyDescent="0.2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</row>
    <row r="2486" spans="1:13" x14ac:dyDescent="0.2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</row>
    <row r="2487" spans="1:13" x14ac:dyDescent="0.25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</row>
    <row r="2488" spans="1:13" x14ac:dyDescent="0.2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</row>
    <row r="2489" spans="1:13" x14ac:dyDescent="0.2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</row>
    <row r="2490" spans="1:13" x14ac:dyDescent="0.25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 x14ac:dyDescent="0.2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</row>
    <row r="2492" spans="1:13" x14ac:dyDescent="0.25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</row>
    <row r="2493" spans="1:13" x14ac:dyDescent="0.25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 x14ac:dyDescent="0.25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</row>
    <row r="2495" spans="1:13" x14ac:dyDescent="0.2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 x14ac:dyDescent="0.25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</row>
    <row r="2497" spans="1:13" x14ac:dyDescent="0.25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</row>
    <row r="2498" spans="1:13" x14ac:dyDescent="0.2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</row>
    <row r="2499" spans="1:13" x14ac:dyDescent="0.25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</row>
    <row r="2500" spans="1:13" x14ac:dyDescent="0.25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</row>
    <row r="2501" spans="1:13" x14ac:dyDescent="0.25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</row>
    <row r="2502" spans="1:13" x14ac:dyDescent="0.2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 x14ac:dyDescent="0.2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 x14ac:dyDescent="0.25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 x14ac:dyDescent="0.25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</row>
    <row r="2506" spans="1:13" x14ac:dyDescent="0.2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</row>
    <row r="2507" spans="1:13" x14ac:dyDescent="0.2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</row>
    <row r="2508" spans="1:13" x14ac:dyDescent="0.25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 x14ac:dyDescent="0.25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</row>
    <row r="2510" spans="1:13" x14ac:dyDescent="0.2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</row>
    <row r="2511" spans="1:13" x14ac:dyDescent="0.25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</row>
    <row r="2512" spans="1:13" x14ac:dyDescent="0.25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</row>
    <row r="2513" spans="1:13" x14ac:dyDescent="0.25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</row>
    <row r="2514" spans="1:13" x14ac:dyDescent="0.25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</row>
    <row r="2515" spans="1:13" x14ac:dyDescent="0.2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</row>
    <row r="2516" spans="1:13" x14ac:dyDescent="0.25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</row>
    <row r="2517" spans="1:13" x14ac:dyDescent="0.25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 x14ac:dyDescent="0.25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 x14ac:dyDescent="0.25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 x14ac:dyDescent="0.2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 x14ac:dyDescent="0.2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</row>
    <row r="2522" spans="1:13" x14ac:dyDescent="0.2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</row>
    <row r="2523" spans="1:13" x14ac:dyDescent="0.2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</row>
    <row r="2524" spans="1:13" x14ac:dyDescent="0.2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 x14ac:dyDescent="0.25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 x14ac:dyDescent="0.2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</row>
    <row r="2527" spans="1:13" x14ac:dyDescent="0.2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</row>
    <row r="2528" spans="1:13" x14ac:dyDescent="0.2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</row>
    <row r="2529" spans="1:13" x14ac:dyDescent="0.2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</row>
    <row r="2530" spans="1:13" x14ac:dyDescent="0.25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 x14ac:dyDescent="0.25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</row>
    <row r="2532" spans="1:13" x14ac:dyDescent="0.2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</row>
    <row r="2533" spans="1:13" x14ac:dyDescent="0.2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</row>
    <row r="2534" spans="1:13" x14ac:dyDescent="0.2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 x14ac:dyDescent="0.25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 x14ac:dyDescent="0.25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</row>
    <row r="2537" spans="1:13" x14ac:dyDescent="0.25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 x14ac:dyDescent="0.2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 x14ac:dyDescent="0.2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 x14ac:dyDescent="0.25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 x14ac:dyDescent="0.2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 x14ac:dyDescent="0.25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 x14ac:dyDescent="0.25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</row>
    <row r="2544" spans="1:13" x14ac:dyDescent="0.25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 x14ac:dyDescent="0.2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 x14ac:dyDescent="0.25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</row>
    <row r="2547" spans="1:13" x14ac:dyDescent="0.2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</row>
    <row r="2548" spans="1:13" x14ac:dyDescent="0.25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 x14ac:dyDescent="0.2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</row>
    <row r="2550" spans="1:13" x14ac:dyDescent="0.2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 x14ac:dyDescent="0.2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 x14ac:dyDescent="0.25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</row>
    <row r="2553" spans="1:13" x14ac:dyDescent="0.2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</row>
    <row r="2554" spans="1:13" x14ac:dyDescent="0.25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</row>
    <row r="2555" spans="1:13" x14ac:dyDescent="0.25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 x14ac:dyDescent="0.25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</row>
    <row r="2557" spans="1:13" x14ac:dyDescent="0.25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</row>
    <row r="2558" spans="1:13" x14ac:dyDescent="0.25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</row>
    <row r="2559" spans="1:13" x14ac:dyDescent="0.25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</row>
    <row r="2560" spans="1:13" x14ac:dyDescent="0.2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 x14ac:dyDescent="0.2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 x14ac:dyDescent="0.25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 x14ac:dyDescent="0.2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 x14ac:dyDescent="0.25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</row>
    <row r="2565" spans="1:13" x14ac:dyDescent="0.2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</row>
    <row r="2566" spans="1:13" x14ac:dyDescent="0.25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</row>
    <row r="2567" spans="1:13" x14ac:dyDescent="0.25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 x14ac:dyDescent="0.2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 x14ac:dyDescent="0.25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</row>
    <row r="2570" spans="1:13" x14ac:dyDescent="0.25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 x14ac:dyDescent="0.2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 x14ac:dyDescent="0.25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</row>
    <row r="2573" spans="1:13" x14ac:dyDescent="0.25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</row>
    <row r="2574" spans="1:13" x14ac:dyDescent="0.25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</row>
    <row r="2575" spans="1:13" x14ac:dyDescent="0.25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</row>
    <row r="2576" spans="1:13" x14ac:dyDescent="0.2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</row>
    <row r="2577" spans="1:13" x14ac:dyDescent="0.2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</row>
    <row r="2578" spans="1:13" x14ac:dyDescent="0.2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</row>
    <row r="2579" spans="1:13" x14ac:dyDescent="0.25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 x14ac:dyDescent="0.2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</row>
    <row r="2581" spans="1:13" x14ac:dyDescent="0.2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 x14ac:dyDescent="0.2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</row>
    <row r="2583" spans="1:13" x14ac:dyDescent="0.2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</row>
    <row r="2584" spans="1:13" x14ac:dyDescent="0.2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</row>
    <row r="2585" spans="1:13" x14ac:dyDescent="0.2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</row>
    <row r="2586" spans="1:13" x14ac:dyDescent="0.25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 x14ac:dyDescent="0.25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</row>
    <row r="2588" spans="1:13" x14ac:dyDescent="0.2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</row>
    <row r="2589" spans="1:13" x14ac:dyDescent="0.25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</row>
    <row r="2590" spans="1:13" x14ac:dyDescent="0.2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</row>
    <row r="2591" spans="1:13" x14ac:dyDescent="0.25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 x14ac:dyDescent="0.2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</row>
    <row r="2593" spans="1:13" x14ac:dyDescent="0.25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 x14ac:dyDescent="0.2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</row>
    <row r="2595" spans="1:13" x14ac:dyDescent="0.25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</row>
    <row r="2596" spans="1:13" x14ac:dyDescent="0.2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</row>
    <row r="2597" spans="1:13" x14ac:dyDescent="0.2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</row>
    <row r="2598" spans="1:13" x14ac:dyDescent="0.2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</row>
    <row r="2599" spans="1:13" x14ac:dyDescent="0.2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</row>
    <row r="2600" spans="1:13" x14ac:dyDescent="0.25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 x14ac:dyDescent="0.2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</row>
    <row r="2602" spans="1:13" x14ac:dyDescent="0.25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</row>
    <row r="2603" spans="1:13" x14ac:dyDescent="0.2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</row>
    <row r="2604" spans="1:13" x14ac:dyDescent="0.2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 x14ac:dyDescent="0.2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</row>
    <row r="2606" spans="1:13" x14ac:dyDescent="0.25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</row>
    <row r="2607" spans="1:13" x14ac:dyDescent="0.25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 x14ac:dyDescent="0.25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</row>
    <row r="2609" spans="1:13" x14ac:dyDescent="0.2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 x14ac:dyDescent="0.2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 x14ac:dyDescent="0.2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 x14ac:dyDescent="0.2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</row>
    <row r="2613" spans="1:13" x14ac:dyDescent="0.2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 x14ac:dyDescent="0.25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 x14ac:dyDescent="0.2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</row>
    <row r="2616" spans="1:13" x14ac:dyDescent="0.2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</row>
    <row r="2617" spans="1:13" x14ac:dyDescent="0.25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 x14ac:dyDescent="0.2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</row>
    <row r="2619" spans="1:13" x14ac:dyDescent="0.25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</row>
    <row r="2620" spans="1:13" x14ac:dyDescent="0.2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 x14ac:dyDescent="0.2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 x14ac:dyDescent="0.2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 x14ac:dyDescent="0.25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</row>
    <row r="2624" spans="1:13" x14ac:dyDescent="0.25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 x14ac:dyDescent="0.2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</row>
    <row r="2626" spans="1:13" x14ac:dyDescent="0.2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</row>
    <row r="2627" spans="1:13" x14ac:dyDescent="0.2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</row>
    <row r="2628" spans="1:13" x14ac:dyDescent="0.25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 x14ac:dyDescent="0.2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</row>
    <row r="2630" spans="1:13" x14ac:dyDescent="0.2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 x14ac:dyDescent="0.25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</row>
    <row r="2632" spans="1:13" x14ac:dyDescent="0.25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 x14ac:dyDescent="0.2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 x14ac:dyDescent="0.2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</row>
    <row r="2635" spans="1:13" x14ac:dyDescent="0.25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 x14ac:dyDescent="0.2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</row>
    <row r="2637" spans="1:13" x14ac:dyDescent="0.25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 x14ac:dyDescent="0.25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</row>
    <row r="2639" spans="1:13" x14ac:dyDescent="0.2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</row>
    <row r="2640" spans="1:13" x14ac:dyDescent="0.2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</row>
    <row r="2641" spans="1:13" x14ac:dyDescent="0.2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 x14ac:dyDescent="0.25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</row>
    <row r="2643" spans="1:13" x14ac:dyDescent="0.25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</row>
    <row r="2644" spans="1:13" x14ac:dyDescent="0.25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</row>
    <row r="2645" spans="1:13" x14ac:dyDescent="0.2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 x14ac:dyDescent="0.25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</row>
    <row r="2647" spans="1:13" x14ac:dyDescent="0.2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</row>
    <row r="2648" spans="1:13" x14ac:dyDescent="0.2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</row>
    <row r="2649" spans="1:13" x14ac:dyDescent="0.2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</row>
    <row r="2650" spans="1:13" x14ac:dyDescent="0.2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 x14ac:dyDescent="0.25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 x14ac:dyDescent="0.25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</row>
    <row r="2653" spans="1:13" x14ac:dyDescent="0.2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 x14ac:dyDescent="0.2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</row>
    <row r="2655" spans="1:13" x14ac:dyDescent="0.2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</row>
    <row r="2656" spans="1:13" x14ac:dyDescent="0.2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</row>
    <row r="2657" spans="1:13" x14ac:dyDescent="0.2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</row>
    <row r="2658" spans="1:13" x14ac:dyDescent="0.2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 x14ac:dyDescent="0.25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</row>
    <row r="2660" spans="1:13" x14ac:dyDescent="0.25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</row>
    <row r="2661" spans="1:13" x14ac:dyDescent="0.25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</row>
    <row r="2662" spans="1:13" x14ac:dyDescent="0.2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 x14ac:dyDescent="0.25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</row>
    <row r="2664" spans="1:13" x14ac:dyDescent="0.25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 x14ac:dyDescent="0.2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 x14ac:dyDescent="0.2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</row>
    <row r="2667" spans="1:13" x14ac:dyDescent="0.25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 x14ac:dyDescent="0.2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</row>
    <row r="2669" spans="1:13" x14ac:dyDescent="0.25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 x14ac:dyDescent="0.2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</row>
    <row r="2671" spans="1:13" x14ac:dyDescent="0.25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</row>
    <row r="2672" spans="1:13" x14ac:dyDescent="0.2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 x14ac:dyDescent="0.2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</row>
    <row r="2674" spans="1:13" x14ac:dyDescent="0.2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</row>
    <row r="2675" spans="1:13" x14ac:dyDescent="0.25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</row>
    <row r="2676" spans="1:13" x14ac:dyDescent="0.25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</row>
    <row r="2677" spans="1:13" x14ac:dyDescent="0.2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 x14ac:dyDescent="0.25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 x14ac:dyDescent="0.2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</row>
    <row r="2680" spans="1:13" x14ac:dyDescent="0.25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</row>
    <row r="2681" spans="1:13" x14ac:dyDescent="0.2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 x14ac:dyDescent="0.2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</row>
    <row r="2683" spans="1:13" x14ac:dyDescent="0.2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</row>
    <row r="2684" spans="1:13" x14ac:dyDescent="0.2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 x14ac:dyDescent="0.25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 x14ac:dyDescent="0.25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 x14ac:dyDescent="0.2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 x14ac:dyDescent="0.25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</row>
    <row r="2689" spans="1:13" x14ac:dyDescent="0.25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</row>
    <row r="2690" spans="1:13" x14ac:dyDescent="0.25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</row>
    <row r="2691" spans="1:13" x14ac:dyDescent="0.25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 x14ac:dyDescent="0.25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</row>
    <row r="2693" spans="1:13" x14ac:dyDescent="0.2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 x14ac:dyDescent="0.25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 x14ac:dyDescent="0.25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</row>
    <row r="2696" spans="1:13" x14ac:dyDescent="0.25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</row>
    <row r="2697" spans="1:13" x14ac:dyDescent="0.25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</row>
    <row r="2698" spans="1:13" x14ac:dyDescent="0.2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</row>
    <row r="2699" spans="1:13" x14ac:dyDescent="0.2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 x14ac:dyDescent="0.2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 x14ac:dyDescent="0.2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 x14ac:dyDescent="0.2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</row>
    <row r="2703" spans="1:13" x14ac:dyDescent="0.2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 x14ac:dyDescent="0.25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</row>
    <row r="2705" spans="1:13" x14ac:dyDescent="0.25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 x14ac:dyDescent="0.25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</row>
    <row r="2707" spans="1:13" x14ac:dyDescent="0.2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 x14ac:dyDescent="0.2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</row>
    <row r="2709" spans="1:13" x14ac:dyDescent="0.25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</row>
    <row r="2710" spans="1:13" x14ac:dyDescent="0.2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</row>
    <row r="2711" spans="1:13" x14ac:dyDescent="0.25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 x14ac:dyDescent="0.25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</row>
    <row r="2713" spans="1:13" x14ac:dyDescent="0.25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</row>
    <row r="2714" spans="1:13" x14ac:dyDescent="0.25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 x14ac:dyDescent="0.25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</row>
    <row r="2716" spans="1:13" x14ac:dyDescent="0.25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</row>
    <row r="2717" spans="1:13" x14ac:dyDescent="0.25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 x14ac:dyDescent="0.25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 x14ac:dyDescent="0.25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</row>
    <row r="2720" spans="1:13" x14ac:dyDescent="0.25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</row>
    <row r="2721" spans="1:13" x14ac:dyDescent="0.25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</row>
    <row r="2722" spans="1:13" x14ac:dyDescent="0.2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</row>
    <row r="2723" spans="1:13" x14ac:dyDescent="0.25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</row>
    <row r="2724" spans="1:13" x14ac:dyDescent="0.25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 x14ac:dyDescent="0.2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 x14ac:dyDescent="0.25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 x14ac:dyDescent="0.2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 x14ac:dyDescent="0.25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 x14ac:dyDescent="0.2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 x14ac:dyDescent="0.25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</row>
    <row r="2731" spans="1:13" x14ac:dyDescent="0.2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 x14ac:dyDescent="0.2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 x14ac:dyDescent="0.25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</row>
    <row r="2734" spans="1:13" x14ac:dyDescent="0.2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</row>
    <row r="2735" spans="1:13" x14ac:dyDescent="0.25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</row>
    <row r="2736" spans="1:13" x14ac:dyDescent="0.25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</row>
    <row r="2737" spans="1:13" x14ac:dyDescent="0.2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</row>
    <row r="2738" spans="1:13" x14ac:dyDescent="0.2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 x14ac:dyDescent="0.2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</row>
    <row r="2740" spans="1:13" x14ac:dyDescent="0.25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</row>
    <row r="2741" spans="1:13" x14ac:dyDescent="0.2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 x14ac:dyDescent="0.25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 x14ac:dyDescent="0.25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</row>
    <row r="2744" spans="1:13" x14ac:dyDescent="0.25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 x14ac:dyDescent="0.2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 x14ac:dyDescent="0.25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 x14ac:dyDescent="0.25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</row>
    <row r="2748" spans="1:13" x14ac:dyDescent="0.25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 x14ac:dyDescent="0.25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</row>
    <row r="2750" spans="1:13" x14ac:dyDescent="0.25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 x14ac:dyDescent="0.25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 x14ac:dyDescent="0.25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 x14ac:dyDescent="0.25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</row>
    <row r="2754" spans="1:13" x14ac:dyDescent="0.2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</row>
    <row r="2755" spans="1:13" x14ac:dyDescent="0.2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</row>
    <row r="2756" spans="1:13" x14ac:dyDescent="0.2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</row>
    <row r="2757" spans="1:13" x14ac:dyDescent="0.2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</row>
    <row r="2758" spans="1:13" x14ac:dyDescent="0.25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 x14ac:dyDescent="0.25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</row>
    <row r="2760" spans="1:13" x14ac:dyDescent="0.2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</row>
    <row r="2761" spans="1:13" x14ac:dyDescent="0.25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</row>
    <row r="2762" spans="1:13" x14ac:dyDescent="0.25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</row>
    <row r="2763" spans="1:13" x14ac:dyDescent="0.2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</row>
    <row r="2764" spans="1:13" x14ac:dyDescent="0.25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 x14ac:dyDescent="0.2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</row>
    <row r="2766" spans="1:13" x14ac:dyDescent="0.2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 x14ac:dyDescent="0.25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</row>
    <row r="2768" spans="1:13" x14ac:dyDescent="0.2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</row>
    <row r="2769" spans="1:13" x14ac:dyDescent="0.25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 x14ac:dyDescent="0.2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</row>
    <row r="2771" spans="1:13" x14ac:dyDescent="0.2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 x14ac:dyDescent="0.25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</row>
    <row r="2773" spans="1:13" x14ac:dyDescent="0.25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 x14ac:dyDescent="0.25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 x14ac:dyDescent="0.25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 x14ac:dyDescent="0.25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 x14ac:dyDescent="0.25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 x14ac:dyDescent="0.25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 x14ac:dyDescent="0.25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</row>
    <row r="2780" spans="1:13" x14ac:dyDescent="0.2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 x14ac:dyDescent="0.25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 x14ac:dyDescent="0.25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</row>
    <row r="2783" spans="1:13" x14ac:dyDescent="0.25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 x14ac:dyDescent="0.25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</row>
    <row r="2785" spans="1:13" x14ac:dyDescent="0.25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</row>
    <row r="2786" spans="1:13" x14ac:dyDescent="0.25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</row>
    <row r="2787" spans="1:13" x14ac:dyDescent="0.2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</row>
    <row r="2788" spans="1:13" x14ac:dyDescent="0.25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</row>
    <row r="2789" spans="1:13" x14ac:dyDescent="0.2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 x14ac:dyDescent="0.2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</row>
    <row r="2791" spans="1:13" x14ac:dyDescent="0.25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</row>
    <row r="2792" spans="1:13" x14ac:dyDescent="0.2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</row>
    <row r="2793" spans="1:13" x14ac:dyDescent="0.2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</row>
    <row r="2794" spans="1:13" x14ac:dyDescent="0.25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 x14ac:dyDescent="0.2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 x14ac:dyDescent="0.2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 x14ac:dyDescent="0.2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 x14ac:dyDescent="0.25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</row>
    <row r="2799" spans="1:13" x14ac:dyDescent="0.2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</row>
    <row r="2800" spans="1:13" x14ac:dyDescent="0.2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</row>
    <row r="2801" spans="1:13" x14ac:dyDescent="0.25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</row>
    <row r="2802" spans="1:13" x14ac:dyDescent="0.25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</row>
    <row r="2803" spans="1:13" x14ac:dyDescent="0.25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</row>
    <row r="2804" spans="1:13" x14ac:dyDescent="0.25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</row>
    <row r="2805" spans="1:13" x14ac:dyDescent="0.2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</row>
    <row r="2806" spans="1:13" x14ac:dyDescent="0.25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</row>
    <row r="2807" spans="1:13" x14ac:dyDescent="0.25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</row>
    <row r="2808" spans="1:13" x14ac:dyDescent="0.2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</row>
    <row r="2809" spans="1:13" x14ac:dyDescent="0.2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</row>
    <row r="2810" spans="1:13" x14ac:dyDescent="0.2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 x14ac:dyDescent="0.25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 x14ac:dyDescent="0.2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</row>
    <row r="2813" spans="1:13" x14ac:dyDescent="0.2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</row>
    <row r="2814" spans="1:13" x14ac:dyDescent="0.2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</row>
    <row r="2815" spans="1:13" x14ac:dyDescent="0.2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</row>
    <row r="2816" spans="1:13" x14ac:dyDescent="0.25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</row>
    <row r="2817" spans="1:13" x14ac:dyDescent="0.2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 x14ac:dyDescent="0.2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</row>
    <row r="2819" spans="1:13" x14ac:dyDescent="0.2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</row>
    <row r="2820" spans="1:13" x14ac:dyDescent="0.25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</row>
    <row r="2821" spans="1:13" x14ac:dyDescent="0.2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 x14ac:dyDescent="0.25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</row>
    <row r="2823" spans="1:13" x14ac:dyDescent="0.25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 x14ac:dyDescent="0.2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 x14ac:dyDescent="0.25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</row>
    <row r="2826" spans="1:13" x14ac:dyDescent="0.2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 x14ac:dyDescent="0.2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 x14ac:dyDescent="0.2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 x14ac:dyDescent="0.25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 x14ac:dyDescent="0.2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</row>
    <row r="2831" spans="1:13" x14ac:dyDescent="0.2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 x14ac:dyDescent="0.25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</row>
    <row r="2833" spans="1:13" x14ac:dyDescent="0.2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 x14ac:dyDescent="0.25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</row>
    <row r="2835" spans="1:13" x14ac:dyDescent="0.2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</row>
    <row r="2836" spans="1:13" x14ac:dyDescent="0.25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</row>
    <row r="2837" spans="1:13" x14ac:dyDescent="0.2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 x14ac:dyDescent="0.2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</row>
    <row r="2839" spans="1:13" x14ac:dyDescent="0.25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</row>
    <row r="2840" spans="1:13" x14ac:dyDescent="0.25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</row>
    <row r="2841" spans="1:13" x14ac:dyDescent="0.25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 x14ac:dyDescent="0.25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 x14ac:dyDescent="0.25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 x14ac:dyDescent="0.25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</row>
    <row r="2845" spans="1:13" x14ac:dyDescent="0.25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</row>
    <row r="2846" spans="1:13" x14ac:dyDescent="0.25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</row>
    <row r="2847" spans="1:13" x14ac:dyDescent="0.25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 x14ac:dyDescent="0.25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 x14ac:dyDescent="0.2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</row>
    <row r="2850" spans="1:13" x14ac:dyDescent="0.25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 x14ac:dyDescent="0.25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 x14ac:dyDescent="0.25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</row>
    <row r="2853" spans="1:13" x14ac:dyDescent="0.25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</row>
    <row r="2854" spans="1:13" x14ac:dyDescent="0.2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</row>
    <row r="2855" spans="1:13" x14ac:dyDescent="0.25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 x14ac:dyDescent="0.25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 x14ac:dyDescent="0.25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 x14ac:dyDescent="0.25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 x14ac:dyDescent="0.25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</row>
    <row r="2860" spans="1:13" x14ac:dyDescent="0.2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</row>
    <row r="2861" spans="1:13" x14ac:dyDescent="0.2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</row>
    <row r="2862" spans="1:13" x14ac:dyDescent="0.2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</row>
    <row r="2863" spans="1:13" x14ac:dyDescent="0.25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 x14ac:dyDescent="0.25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</row>
    <row r="2865" spans="1:13" x14ac:dyDescent="0.2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 x14ac:dyDescent="0.2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</row>
    <row r="2867" spans="1:13" x14ac:dyDescent="0.2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</row>
    <row r="2868" spans="1:13" x14ac:dyDescent="0.25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</row>
    <row r="2869" spans="1:13" x14ac:dyDescent="0.2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 x14ac:dyDescent="0.25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 x14ac:dyDescent="0.25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 x14ac:dyDescent="0.2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 x14ac:dyDescent="0.25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</row>
    <row r="2874" spans="1:13" x14ac:dyDescent="0.25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 x14ac:dyDescent="0.25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</row>
    <row r="2876" spans="1:13" x14ac:dyDescent="0.25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 x14ac:dyDescent="0.2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 x14ac:dyDescent="0.25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</row>
    <row r="2879" spans="1:13" x14ac:dyDescent="0.2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</row>
    <row r="2880" spans="1:13" x14ac:dyDescent="0.2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</row>
    <row r="2881" spans="1:13" x14ac:dyDescent="0.25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 x14ac:dyDescent="0.2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</row>
    <row r="2883" spans="1:13" x14ac:dyDescent="0.25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</row>
    <row r="2884" spans="1:13" x14ac:dyDescent="0.25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</row>
    <row r="2885" spans="1:13" x14ac:dyDescent="0.25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 x14ac:dyDescent="0.25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</row>
    <row r="2887" spans="1:13" x14ac:dyDescent="0.25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</row>
    <row r="2888" spans="1:13" x14ac:dyDescent="0.2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</row>
    <row r="2889" spans="1:13" x14ac:dyDescent="0.2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</row>
    <row r="2890" spans="1:13" x14ac:dyDescent="0.25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 x14ac:dyDescent="0.25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 x14ac:dyDescent="0.2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 x14ac:dyDescent="0.25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</row>
    <row r="2894" spans="1:13" x14ac:dyDescent="0.2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</row>
    <row r="2895" spans="1:13" x14ac:dyDescent="0.2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 x14ac:dyDescent="0.2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</row>
    <row r="2897" spans="1:13" x14ac:dyDescent="0.25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</row>
    <row r="2898" spans="1:13" x14ac:dyDescent="0.25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</row>
    <row r="2899" spans="1:13" x14ac:dyDescent="0.25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</row>
    <row r="2900" spans="1:13" x14ac:dyDescent="0.25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 x14ac:dyDescent="0.2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 x14ac:dyDescent="0.25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</row>
    <row r="2903" spans="1:13" x14ac:dyDescent="0.25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</row>
    <row r="2904" spans="1:13" x14ac:dyDescent="0.25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 x14ac:dyDescent="0.2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 x14ac:dyDescent="0.25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</row>
    <row r="2907" spans="1:13" x14ac:dyDescent="0.25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</row>
    <row r="2908" spans="1:13" x14ac:dyDescent="0.2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</row>
    <row r="2909" spans="1:13" x14ac:dyDescent="0.2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 x14ac:dyDescent="0.25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</row>
    <row r="2911" spans="1:13" x14ac:dyDescent="0.25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 x14ac:dyDescent="0.25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</row>
    <row r="2913" spans="1:13" x14ac:dyDescent="0.2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</row>
    <row r="2914" spans="1:13" x14ac:dyDescent="0.2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 x14ac:dyDescent="0.25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</row>
    <row r="2916" spans="1:13" x14ac:dyDescent="0.2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</row>
    <row r="2917" spans="1:13" x14ac:dyDescent="0.2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 x14ac:dyDescent="0.25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 x14ac:dyDescent="0.25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</row>
    <row r="2920" spans="1:13" x14ac:dyDescent="0.2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 x14ac:dyDescent="0.2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</row>
    <row r="2922" spans="1:13" x14ac:dyDescent="0.25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 x14ac:dyDescent="0.25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 x14ac:dyDescent="0.25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</row>
    <row r="2925" spans="1:13" x14ac:dyDescent="0.25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 x14ac:dyDescent="0.2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</row>
    <row r="2927" spans="1:13" x14ac:dyDescent="0.25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</row>
    <row r="2928" spans="1:13" x14ac:dyDescent="0.25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</row>
    <row r="2929" spans="1:13" x14ac:dyDescent="0.25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 x14ac:dyDescent="0.25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 x14ac:dyDescent="0.25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</row>
    <row r="2932" spans="1:13" x14ac:dyDescent="0.2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</row>
    <row r="2933" spans="1:13" x14ac:dyDescent="0.2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</row>
    <row r="2934" spans="1:13" x14ac:dyDescent="0.25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 x14ac:dyDescent="0.2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 x14ac:dyDescent="0.2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</row>
    <row r="2937" spans="1:13" x14ac:dyDescent="0.2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 x14ac:dyDescent="0.2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 x14ac:dyDescent="0.2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</row>
    <row r="2940" spans="1:13" x14ac:dyDescent="0.2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 x14ac:dyDescent="0.25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</row>
    <row r="2942" spans="1:13" x14ac:dyDescent="0.2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</row>
    <row r="2943" spans="1:13" x14ac:dyDescent="0.2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 x14ac:dyDescent="0.25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</row>
    <row r="2945" spans="1:13" x14ac:dyDescent="0.2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</row>
    <row r="2946" spans="1:13" x14ac:dyDescent="0.25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</row>
    <row r="2947" spans="1:13" x14ac:dyDescent="0.25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 x14ac:dyDescent="0.2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 x14ac:dyDescent="0.2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</row>
    <row r="2950" spans="1:13" x14ac:dyDescent="0.25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</row>
    <row r="2951" spans="1:13" x14ac:dyDescent="0.2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</row>
    <row r="2952" spans="1:13" x14ac:dyDescent="0.2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 x14ac:dyDescent="0.2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</row>
    <row r="2954" spans="1:13" x14ac:dyDescent="0.2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</row>
    <row r="2955" spans="1:13" x14ac:dyDescent="0.2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 x14ac:dyDescent="0.25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</row>
    <row r="2957" spans="1:13" x14ac:dyDescent="0.25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 x14ac:dyDescent="0.25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</row>
    <row r="2959" spans="1:13" x14ac:dyDescent="0.25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</row>
    <row r="2960" spans="1:13" x14ac:dyDescent="0.2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 x14ac:dyDescent="0.25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</row>
    <row r="2962" spans="1:13" x14ac:dyDescent="0.2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 x14ac:dyDescent="0.25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 x14ac:dyDescent="0.2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 x14ac:dyDescent="0.2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</row>
    <row r="2966" spans="1:13" x14ac:dyDescent="0.2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</row>
    <row r="2967" spans="1:13" x14ac:dyDescent="0.25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</row>
    <row r="2968" spans="1:13" x14ac:dyDescent="0.2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 x14ac:dyDescent="0.25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 x14ac:dyDescent="0.2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</row>
    <row r="2971" spans="1:13" x14ac:dyDescent="0.2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</row>
    <row r="2972" spans="1:13" x14ac:dyDescent="0.2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 x14ac:dyDescent="0.2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 x14ac:dyDescent="0.25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</row>
    <row r="2975" spans="1:13" x14ac:dyDescent="0.25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</row>
    <row r="2976" spans="1:13" x14ac:dyDescent="0.2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</row>
    <row r="2977" spans="1:13" x14ac:dyDescent="0.25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</row>
    <row r="2978" spans="1:13" x14ac:dyDescent="0.25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 x14ac:dyDescent="0.25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 x14ac:dyDescent="0.25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 x14ac:dyDescent="0.2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 x14ac:dyDescent="0.25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 x14ac:dyDescent="0.2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 x14ac:dyDescent="0.25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 x14ac:dyDescent="0.2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 x14ac:dyDescent="0.25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</row>
    <row r="2987" spans="1:13" x14ac:dyDescent="0.2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</row>
    <row r="2988" spans="1:13" x14ac:dyDescent="0.2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 x14ac:dyDescent="0.25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</row>
    <row r="2990" spans="1:13" x14ac:dyDescent="0.2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 x14ac:dyDescent="0.2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</row>
    <row r="2992" spans="1:13" x14ac:dyDescent="0.2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</row>
    <row r="2993" spans="1:13" x14ac:dyDescent="0.25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</row>
    <row r="2994" spans="1:13" x14ac:dyDescent="0.25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</row>
    <row r="2995" spans="1:13" x14ac:dyDescent="0.25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</row>
    <row r="2996" spans="1:13" x14ac:dyDescent="0.25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</row>
    <row r="2997" spans="1:13" x14ac:dyDescent="0.25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 x14ac:dyDescent="0.2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</row>
    <row r="2999" spans="1:13" x14ac:dyDescent="0.2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 x14ac:dyDescent="0.2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 x14ac:dyDescent="0.2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 x14ac:dyDescent="0.2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 x14ac:dyDescent="0.25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</row>
    <row r="3004" spans="1:13" x14ac:dyDescent="0.25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</row>
    <row r="3005" spans="1:13" x14ac:dyDescent="0.25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 x14ac:dyDescent="0.25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</row>
    <row r="3007" spans="1:13" x14ac:dyDescent="0.25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</row>
    <row r="3008" spans="1:13" x14ac:dyDescent="0.25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 x14ac:dyDescent="0.25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</row>
    <row r="3010" spans="1:13" x14ac:dyDescent="0.25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</row>
    <row r="3011" spans="1:13" x14ac:dyDescent="0.25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</row>
    <row r="3012" spans="1:13" x14ac:dyDescent="0.2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</row>
    <row r="3013" spans="1:13" x14ac:dyDescent="0.2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 x14ac:dyDescent="0.2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 x14ac:dyDescent="0.2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 x14ac:dyDescent="0.25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</row>
    <row r="3017" spans="1:13" x14ac:dyDescent="0.25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</row>
    <row r="3018" spans="1:13" x14ac:dyDescent="0.2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</row>
    <row r="3019" spans="1:13" x14ac:dyDescent="0.2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 x14ac:dyDescent="0.25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</row>
    <row r="3021" spans="1:13" x14ac:dyDescent="0.2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 x14ac:dyDescent="0.2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 x14ac:dyDescent="0.2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 x14ac:dyDescent="0.25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 x14ac:dyDescent="0.25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</row>
    <row r="3026" spans="1:13" x14ac:dyDescent="0.2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 x14ac:dyDescent="0.25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</row>
    <row r="3028" spans="1:13" x14ac:dyDescent="0.25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</row>
    <row r="3029" spans="1:13" x14ac:dyDescent="0.25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</row>
    <row r="3030" spans="1:13" x14ac:dyDescent="0.25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</row>
    <row r="3031" spans="1:13" x14ac:dyDescent="0.25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</row>
    <row r="3032" spans="1:13" x14ac:dyDescent="0.2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</row>
    <row r="3033" spans="1:13" x14ac:dyDescent="0.25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 x14ac:dyDescent="0.25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 x14ac:dyDescent="0.25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</row>
    <row r="3036" spans="1:13" x14ac:dyDescent="0.2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</row>
    <row r="3037" spans="1:13" x14ac:dyDescent="0.2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</row>
    <row r="3038" spans="1:13" x14ac:dyDescent="0.2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</row>
    <row r="3039" spans="1:13" x14ac:dyDescent="0.2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</row>
    <row r="3040" spans="1:13" x14ac:dyDescent="0.25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 x14ac:dyDescent="0.25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</row>
    <row r="3042" spans="1:13" x14ac:dyDescent="0.25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</row>
    <row r="3043" spans="1:13" x14ac:dyDescent="0.2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 x14ac:dyDescent="0.2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 x14ac:dyDescent="0.25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</row>
    <row r="3046" spans="1:13" x14ac:dyDescent="0.25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</row>
    <row r="3047" spans="1:13" x14ac:dyDescent="0.2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 x14ac:dyDescent="0.25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</row>
    <row r="3049" spans="1:13" x14ac:dyDescent="0.25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 x14ac:dyDescent="0.2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</row>
    <row r="3051" spans="1:13" x14ac:dyDescent="0.25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</row>
    <row r="3052" spans="1:13" x14ac:dyDescent="0.2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</row>
    <row r="3053" spans="1:13" x14ac:dyDescent="0.2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</row>
    <row r="3054" spans="1:13" x14ac:dyDescent="0.25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 x14ac:dyDescent="0.2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</row>
    <row r="3056" spans="1:13" x14ac:dyDescent="0.25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</row>
    <row r="3057" spans="1:13" x14ac:dyDescent="0.25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 x14ac:dyDescent="0.2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 x14ac:dyDescent="0.2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 x14ac:dyDescent="0.2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</row>
    <row r="3061" spans="1:13" x14ac:dyDescent="0.25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 x14ac:dyDescent="0.25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</row>
    <row r="3063" spans="1:13" x14ac:dyDescent="0.25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</row>
    <row r="3064" spans="1:13" x14ac:dyDescent="0.2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</row>
    <row r="3065" spans="1:13" x14ac:dyDescent="0.25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</row>
    <row r="3066" spans="1:13" x14ac:dyDescent="0.2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 x14ac:dyDescent="0.2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</row>
    <row r="3068" spans="1:13" x14ac:dyDescent="0.2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 x14ac:dyDescent="0.2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 x14ac:dyDescent="0.25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 x14ac:dyDescent="0.25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</row>
    <row r="3072" spans="1:13" x14ac:dyDescent="0.2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 x14ac:dyDescent="0.2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</row>
    <row r="3074" spans="1:13" x14ac:dyDescent="0.25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</row>
    <row r="3075" spans="1:13" x14ac:dyDescent="0.25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</row>
    <row r="3076" spans="1:13" x14ac:dyDescent="0.25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 x14ac:dyDescent="0.2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 x14ac:dyDescent="0.2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</row>
    <row r="3079" spans="1:13" x14ac:dyDescent="0.25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</row>
    <row r="3080" spans="1:13" x14ac:dyDescent="0.25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</row>
    <row r="3081" spans="1:13" x14ac:dyDescent="0.2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 x14ac:dyDescent="0.25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 x14ac:dyDescent="0.2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</row>
    <row r="3084" spans="1:13" x14ac:dyDescent="0.25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 x14ac:dyDescent="0.25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 x14ac:dyDescent="0.2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 x14ac:dyDescent="0.2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 x14ac:dyDescent="0.2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 x14ac:dyDescent="0.25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</row>
    <row r="3090" spans="1:13" x14ac:dyDescent="0.2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 x14ac:dyDescent="0.25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</row>
    <row r="3092" spans="1:13" x14ac:dyDescent="0.2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 x14ac:dyDescent="0.2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</row>
    <row r="3094" spans="1:13" x14ac:dyDescent="0.25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</row>
    <row r="3095" spans="1:13" x14ac:dyDescent="0.2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 x14ac:dyDescent="0.2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</row>
    <row r="3097" spans="1:13" x14ac:dyDescent="0.2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</row>
    <row r="3098" spans="1:13" x14ac:dyDescent="0.25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 x14ac:dyDescent="0.2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</row>
    <row r="3100" spans="1:13" x14ac:dyDescent="0.25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</row>
    <row r="3101" spans="1:13" x14ac:dyDescent="0.2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</row>
    <row r="3102" spans="1:13" x14ac:dyDescent="0.25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</row>
    <row r="3103" spans="1:13" x14ac:dyDescent="0.2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</row>
    <row r="3104" spans="1:13" x14ac:dyDescent="0.25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 x14ac:dyDescent="0.25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</row>
    <row r="3106" spans="1:13" x14ac:dyDescent="0.25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 x14ac:dyDescent="0.25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</row>
    <row r="3108" spans="1:13" x14ac:dyDescent="0.25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 x14ac:dyDescent="0.2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</row>
    <row r="3110" spans="1:13" x14ac:dyDescent="0.2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</row>
    <row r="3111" spans="1:13" x14ac:dyDescent="0.2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</row>
    <row r="3112" spans="1:13" x14ac:dyDescent="0.2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</row>
    <row r="3113" spans="1:13" x14ac:dyDescent="0.25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 x14ac:dyDescent="0.2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</row>
    <row r="3115" spans="1:13" x14ac:dyDescent="0.2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</row>
    <row r="3116" spans="1:13" x14ac:dyDescent="0.2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 x14ac:dyDescent="0.2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</row>
    <row r="3118" spans="1:13" x14ac:dyDescent="0.2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 x14ac:dyDescent="0.25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 x14ac:dyDescent="0.2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 x14ac:dyDescent="0.2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 x14ac:dyDescent="0.2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 x14ac:dyDescent="0.2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</row>
    <row r="3124" spans="1:13" x14ac:dyDescent="0.2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</row>
    <row r="3125" spans="1:13" x14ac:dyDescent="0.2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</row>
    <row r="3126" spans="1:13" x14ac:dyDescent="0.2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 x14ac:dyDescent="0.25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 x14ac:dyDescent="0.25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</row>
    <row r="3129" spans="1:13" x14ac:dyDescent="0.25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</row>
    <row r="3130" spans="1:13" x14ac:dyDescent="0.2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 x14ac:dyDescent="0.2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</row>
    <row r="3132" spans="1:13" x14ac:dyDescent="0.2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 x14ac:dyDescent="0.25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</row>
    <row r="3134" spans="1:13" x14ac:dyDescent="0.2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</row>
    <row r="3135" spans="1:13" x14ac:dyDescent="0.25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 x14ac:dyDescent="0.2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 x14ac:dyDescent="0.2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 x14ac:dyDescent="0.2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</row>
    <row r="3139" spans="1:13" x14ac:dyDescent="0.2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 x14ac:dyDescent="0.2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</row>
    <row r="3141" spans="1:13" x14ac:dyDescent="0.25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 x14ac:dyDescent="0.25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</row>
    <row r="3143" spans="1:13" x14ac:dyDescent="0.25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 x14ac:dyDescent="0.2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 x14ac:dyDescent="0.25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</row>
    <row r="3146" spans="1:13" x14ac:dyDescent="0.25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</row>
    <row r="3147" spans="1:13" x14ac:dyDescent="0.2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</row>
    <row r="3148" spans="1:13" x14ac:dyDescent="0.25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</row>
    <row r="3149" spans="1:13" x14ac:dyDescent="0.25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</row>
    <row r="3150" spans="1:13" x14ac:dyDescent="0.25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 x14ac:dyDescent="0.25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</row>
    <row r="3152" spans="1:13" x14ac:dyDescent="0.2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 x14ac:dyDescent="0.2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</row>
    <row r="3154" spans="1:13" x14ac:dyDescent="0.2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 x14ac:dyDescent="0.25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</row>
    <row r="3156" spans="1:13" x14ac:dyDescent="0.25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 x14ac:dyDescent="0.25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 x14ac:dyDescent="0.2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</row>
    <row r="3159" spans="1:13" x14ac:dyDescent="0.25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</row>
    <row r="3160" spans="1:13" x14ac:dyDescent="0.2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</row>
    <row r="3161" spans="1:13" x14ac:dyDescent="0.25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</row>
    <row r="3162" spans="1:13" x14ac:dyDescent="0.25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</row>
    <row r="3163" spans="1:13" x14ac:dyDescent="0.2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</row>
    <row r="3164" spans="1:13" x14ac:dyDescent="0.2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</row>
    <row r="3165" spans="1:13" x14ac:dyDescent="0.2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</row>
    <row r="3166" spans="1:13" x14ac:dyDescent="0.2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</row>
    <row r="3167" spans="1:13" x14ac:dyDescent="0.2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 x14ac:dyDescent="0.25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</row>
    <row r="3169" spans="1:13" x14ac:dyDescent="0.25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 x14ac:dyDescent="0.2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</row>
    <row r="3171" spans="1:13" x14ac:dyDescent="0.25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</row>
    <row r="3172" spans="1:13" x14ac:dyDescent="0.25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 x14ac:dyDescent="0.2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</row>
    <row r="3174" spans="1:13" x14ac:dyDescent="0.2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 x14ac:dyDescent="0.25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 x14ac:dyDescent="0.25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 x14ac:dyDescent="0.2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</row>
    <row r="3178" spans="1:13" x14ac:dyDescent="0.25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 x14ac:dyDescent="0.25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</row>
    <row r="3180" spans="1:13" x14ac:dyDescent="0.2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</row>
    <row r="3181" spans="1:13" x14ac:dyDescent="0.2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</row>
    <row r="3182" spans="1:13" x14ac:dyDescent="0.25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</row>
    <row r="3183" spans="1:13" x14ac:dyDescent="0.2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</row>
    <row r="3184" spans="1:13" x14ac:dyDescent="0.2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</row>
    <row r="3185" spans="1:13" x14ac:dyDescent="0.2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</row>
    <row r="3186" spans="1:13" x14ac:dyDescent="0.25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 x14ac:dyDescent="0.2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</row>
    <row r="3188" spans="1:13" x14ac:dyDescent="0.25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</row>
    <row r="3189" spans="1:13" x14ac:dyDescent="0.25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 x14ac:dyDescent="0.2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 x14ac:dyDescent="0.25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 x14ac:dyDescent="0.25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 x14ac:dyDescent="0.25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</row>
    <row r="3194" spans="1:13" x14ac:dyDescent="0.25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 x14ac:dyDescent="0.2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</row>
    <row r="3196" spans="1:13" x14ac:dyDescent="0.25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 x14ac:dyDescent="0.25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</row>
    <row r="3198" spans="1:13" x14ac:dyDescent="0.25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 x14ac:dyDescent="0.25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</row>
    <row r="3200" spans="1:13" x14ac:dyDescent="0.25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 x14ac:dyDescent="0.25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</row>
    <row r="3202" spans="1:13" x14ac:dyDescent="0.2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</row>
    <row r="3203" spans="1:13" x14ac:dyDescent="0.25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 x14ac:dyDescent="0.2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</row>
    <row r="3205" spans="1:13" x14ac:dyDescent="0.2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 x14ac:dyDescent="0.2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</row>
    <row r="3207" spans="1:13" x14ac:dyDescent="0.2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</row>
    <row r="3208" spans="1:13" x14ac:dyDescent="0.2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 x14ac:dyDescent="0.25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 x14ac:dyDescent="0.2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</row>
    <row r="3211" spans="1:13" x14ac:dyDescent="0.25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 x14ac:dyDescent="0.2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</row>
    <row r="3213" spans="1:13" x14ac:dyDescent="0.25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</row>
    <row r="3214" spans="1:13" x14ac:dyDescent="0.25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</row>
    <row r="3215" spans="1:13" x14ac:dyDescent="0.2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 x14ac:dyDescent="0.25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 x14ac:dyDescent="0.25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 x14ac:dyDescent="0.25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 x14ac:dyDescent="0.2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 x14ac:dyDescent="0.25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</row>
    <row r="3221" spans="1:13" x14ac:dyDescent="0.2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</row>
    <row r="3222" spans="1:13" x14ac:dyDescent="0.2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</row>
    <row r="3223" spans="1:13" x14ac:dyDescent="0.25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 x14ac:dyDescent="0.2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</row>
    <row r="3225" spans="1:13" x14ac:dyDescent="0.2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</row>
    <row r="3226" spans="1:13" x14ac:dyDescent="0.2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 x14ac:dyDescent="0.2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</row>
    <row r="3228" spans="1:13" x14ac:dyDescent="0.2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</row>
    <row r="3229" spans="1:13" x14ac:dyDescent="0.2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</row>
    <row r="3230" spans="1:13" x14ac:dyDescent="0.25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</row>
    <row r="3231" spans="1:13" x14ac:dyDescent="0.25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</row>
    <row r="3232" spans="1:13" x14ac:dyDescent="0.25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 x14ac:dyDescent="0.2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 x14ac:dyDescent="0.2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 x14ac:dyDescent="0.25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</row>
    <row r="3236" spans="1:13" x14ac:dyDescent="0.25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</row>
    <row r="3237" spans="1:13" x14ac:dyDescent="0.25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 x14ac:dyDescent="0.2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 x14ac:dyDescent="0.25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</row>
    <row r="3240" spans="1:13" x14ac:dyDescent="0.2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</row>
    <row r="3241" spans="1:13" x14ac:dyDescent="0.2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 x14ac:dyDescent="0.25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 x14ac:dyDescent="0.25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</row>
    <row r="3244" spans="1:13" x14ac:dyDescent="0.25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</row>
    <row r="3245" spans="1:13" x14ac:dyDescent="0.2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 x14ac:dyDescent="0.25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</row>
    <row r="3247" spans="1:13" x14ac:dyDescent="0.2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</row>
    <row r="3248" spans="1:13" x14ac:dyDescent="0.2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 x14ac:dyDescent="0.25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 x14ac:dyDescent="0.2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</row>
    <row r="3251" spans="1:13" x14ac:dyDescent="0.25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</row>
    <row r="3252" spans="1:13" x14ac:dyDescent="0.25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 x14ac:dyDescent="0.25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</row>
    <row r="3254" spans="1:13" x14ac:dyDescent="0.2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 x14ac:dyDescent="0.25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 x14ac:dyDescent="0.2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</row>
    <row r="3257" spans="1:13" x14ac:dyDescent="0.25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 x14ac:dyDescent="0.25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 x14ac:dyDescent="0.2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 x14ac:dyDescent="0.25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 x14ac:dyDescent="0.25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 x14ac:dyDescent="0.25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</row>
    <row r="3263" spans="1:13" x14ac:dyDescent="0.2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</row>
    <row r="3264" spans="1:13" x14ac:dyDescent="0.2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</row>
    <row r="3265" spans="1:13" x14ac:dyDescent="0.25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 x14ac:dyDescent="0.25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</row>
    <row r="3267" spans="1:13" x14ac:dyDescent="0.2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</row>
    <row r="3268" spans="1:13" x14ac:dyDescent="0.25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 x14ac:dyDescent="0.2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 x14ac:dyDescent="0.25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</row>
    <row r="3271" spans="1:13" x14ac:dyDescent="0.2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 x14ac:dyDescent="0.25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</row>
    <row r="3273" spans="1:13" x14ac:dyDescent="0.25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</row>
    <row r="3274" spans="1:13" x14ac:dyDescent="0.25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 x14ac:dyDescent="0.25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 x14ac:dyDescent="0.2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</row>
    <row r="3277" spans="1:13" x14ac:dyDescent="0.25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</row>
    <row r="3278" spans="1:13" x14ac:dyDescent="0.2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</row>
    <row r="3279" spans="1:13" x14ac:dyDescent="0.2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</row>
    <row r="3280" spans="1:13" x14ac:dyDescent="0.2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</row>
    <row r="3281" spans="1:13" x14ac:dyDescent="0.2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</row>
    <row r="3282" spans="1:13" x14ac:dyDescent="0.25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 x14ac:dyDescent="0.2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 x14ac:dyDescent="0.25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</row>
    <row r="3285" spans="1:13" x14ac:dyDescent="0.25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 x14ac:dyDescent="0.25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</row>
    <row r="3287" spans="1:13" x14ac:dyDescent="0.2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</row>
    <row r="3288" spans="1:13" x14ac:dyDescent="0.25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 x14ac:dyDescent="0.2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</row>
    <row r="3290" spans="1:13" x14ac:dyDescent="0.2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 x14ac:dyDescent="0.2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</row>
    <row r="3292" spans="1:13" x14ac:dyDescent="0.25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</row>
    <row r="3293" spans="1:13" x14ac:dyDescent="0.25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 x14ac:dyDescent="0.2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</row>
    <row r="3295" spans="1:13" x14ac:dyDescent="0.25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</row>
    <row r="3296" spans="1:13" x14ac:dyDescent="0.25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</row>
    <row r="3297" spans="1:13" x14ac:dyDescent="0.25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 x14ac:dyDescent="0.2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</row>
    <row r="3299" spans="1:13" x14ac:dyDescent="0.25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</row>
    <row r="3300" spans="1:13" x14ac:dyDescent="0.25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</row>
    <row r="3301" spans="1:13" x14ac:dyDescent="0.2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 x14ac:dyDescent="0.2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</row>
    <row r="3303" spans="1:13" x14ac:dyDescent="0.2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 x14ac:dyDescent="0.2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 x14ac:dyDescent="0.25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</row>
    <row r="3306" spans="1:13" x14ac:dyDescent="0.2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</row>
    <row r="3307" spans="1:13" x14ac:dyDescent="0.2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 x14ac:dyDescent="0.2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 x14ac:dyDescent="0.2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 x14ac:dyDescent="0.25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 x14ac:dyDescent="0.25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</row>
    <row r="3312" spans="1:13" x14ac:dyDescent="0.25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</row>
    <row r="3313" spans="1:13" x14ac:dyDescent="0.25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 x14ac:dyDescent="0.2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</row>
    <row r="3315" spans="1:13" x14ac:dyDescent="0.25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 x14ac:dyDescent="0.2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 x14ac:dyDescent="0.25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 x14ac:dyDescent="0.25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</row>
    <row r="3319" spans="1:13" x14ac:dyDescent="0.2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 x14ac:dyDescent="0.25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</row>
    <row r="3321" spans="1:13" x14ac:dyDescent="0.2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</row>
    <row r="3322" spans="1:13" x14ac:dyDescent="0.2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</row>
    <row r="3323" spans="1:13" x14ac:dyDescent="0.25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</row>
    <row r="3324" spans="1:13" x14ac:dyDescent="0.2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</row>
    <row r="3325" spans="1:13" x14ac:dyDescent="0.25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 x14ac:dyDescent="0.2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</row>
    <row r="3327" spans="1:13" x14ac:dyDescent="0.2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</row>
    <row r="3328" spans="1:13" x14ac:dyDescent="0.2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</row>
    <row r="3329" spans="1:13" x14ac:dyDescent="0.2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 x14ac:dyDescent="0.2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 x14ac:dyDescent="0.2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 x14ac:dyDescent="0.25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 x14ac:dyDescent="0.2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</row>
    <row r="3334" spans="1:13" x14ac:dyDescent="0.2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 x14ac:dyDescent="0.25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</row>
    <row r="3336" spans="1:13" x14ac:dyDescent="0.2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 x14ac:dyDescent="0.2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 x14ac:dyDescent="0.2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 x14ac:dyDescent="0.2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 x14ac:dyDescent="0.2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</row>
    <row r="3341" spans="1:13" x14ac:dyDescent="0.2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 x14ac:dyDescent="0.25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</row>
    <row r="3343" spans="1:13" x14ac:dyDescent="0.2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 x14ac:dyDescent="0.2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</row>
    <row r="3345" spans="1:13" x14ac:dyDescent="0.2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 x14ac:dyDescent="0.2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</row>
    <row r="3347" spans="1:13" x14ac:dyDescent="0.2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</row>
    <row r="3348" spans="1:13" x14ac:dyDescent="0.25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</row>
    <row r="3349" spans="1:13" x14ac:dyDescent="0.25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 x14ac:dyDescent="0.25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</row>
    <row r="3351" spans="1:13" x14ac:dyDescent="0.25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</row>
    <row r="3352" spans="1:13" x14ac:dyDescent="0.25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 x14ac:dyDescent="0.2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</row>
    <row r="3354" spans="1:13" x14ac:dyDescent="0.25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</row>
    <row r="3355" spans="1:13" x14ac:dyDescent="0.2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 x14ac:dyDescent="0.2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</row>
    <row r="3357" spans="1:13" x14ac:dyDescent="0.2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</row>
    <row r="3358" spans="1:13" x14ac:dyDescent="0.25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 x14ac:dyDescent="0.25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 x14ac:dyDescent="0.2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 x14ac:dyDescent="0.25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</row>
    <row r="3362" spans="1:13" x14ac:dyDescent="0.2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</row>
    <row r="3363" spans="1:13" x14ac:dyDescent="0.25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 x14ac:dyDescent="0.2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 x14ac:dyDescent="0.25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 x14ac:dyDescent="0.25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 x14ac:dyDescent="0.25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 x14ac:dyDescent="0.2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</row>
    <row r="3369" spans="1:13" x14ac:dyDescent="0.25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</row>
    <row r="3370" spans="1:13" x14ac:dyDescent="0.2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 x14ac:dyDescent="0.25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 x14ac:dyDescent="0.25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 x14ac:dyDescent="0.2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</row>
    <row r="3374" spans="1:13" x14ac:dyDescent="0.25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</row>
    <row r="3375" spans="1:13" x14ac:dyDescent="0.2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</row>
    <row r="3376" spans="1:13" x14ac:dyDescent="0.2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 x14ac:dyDescent="0.2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 x14ac:dyDescent="0.25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</row>
    <row r="3379" spans="1:13" x14ac:dyDescent="0.25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</row>
    <row r="3380" spans="1:13" x14ac:dyDescent="0.2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 x14ac:dyDescent="0.25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 x14ac:dyDescent="0.25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 x14ac:dyDescent="0.25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 x14ac:dyDescent="0.2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 x14ac:dyDescent="0.2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</row>
    <row r="3386" spans="1:13" x14ac:dyDescent="0.25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 x14ac:dyDescent="0.2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</row>
    <row r="3388" spans="1:13" x14ac:dyDescent="0.2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 x14ac:dyDescent="0.2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 x14ac:dyDescent="0.2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 x14ac:dyDescent="0.25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</row>
    <row r="3392" spans="1:13" x14ac:dyDescent="0.25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 x14ac:dyDescent="0.2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 x14ac:dyDescent="0.25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</row>
    <row r="3395" spans="1:13" x14ac:dyDescent="0.25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</row>
    <row r="3396" spans="1:13" x14ac:dyDescent="0.25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</row>
    <row r="3397" spans="1:13" x14ac:dyDescent="0.2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</row>
    <row r="3398" spans="1:13" x14ac:dyDescent="0.2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</row>
    <row r="3399" spans="1:13" x14ac:dyDescent="0.25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</row>
    <row r="3400" spans="1:13" x14ac:dyDescent="0.2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</row>
    <row r="3401" spans="1:13" x14ac:dyDescent="0.2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</row>
    <row r="3402" spans="1:13" x14ac:dyDescent="0.2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</row>
    <row r="3403" spans="1:13" x14ac:dyDescent="0.25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</row>
    <row r="3404" spans="1:13" x14ac:dyDescent="0.25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 x14ac:dyDescent="0.25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</row>
    <row r="3406" spans="1:13" x14ac:dyDescent="0.25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</row>
    <row r="3407" spans="1:13" x14ac:dyDescent="0.2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</row>
    <row r="3408" spans="1:13" x14ac:dyDescent="0.2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 x14ac:dyDescent="0.25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 x14ac:dyDescent="0.25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 x14ac:dyDescent="0.25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 x14ac:dyDescent="0.2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</row>
    <row r="3413" spans="1:13" x14ac:dyDescent="0.2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 x14ac:dyDescent="0.2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 x14ac:dyDescent="0.25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</row>
    <row r="3416" spans="1:13" x14ac:dyDescent="0.25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</row>
    <row r="3417" spans="1:13" x14ac:dyDescent="0.25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</row>
    <row r="3418" spans="1:13" x14ac:dyDescent="0.25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 x14ac:dyDescent="0.25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 x14ac:dyDescent="0.25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</row>
    <row r="3421" spans="1:13" x14ac:dyDescent="0.25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</row>
    <row r="3422" spans="1:13" x14ac:dyDescent="0.2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</row>
    <row r="3423" spans="1:13" x14ac:dyDescent="0.2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</row>
    <row r="3424" spans="1:13" x14ac:dyDescent="0.2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 x14ac:dyDescent="0.25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</row>
    <row r="3426" spans="1:13" x14ac:dyDescent="0.25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</row>
    <row r="3427" spans="1:13" x14ac:dyDescent="0.25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 x14ac:dyDescent="0.25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</row>
    <row r="3429" spans="1:13" x14ac:dyDescent="0.2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</row>
    <row r="3430" spans="1:13" x14ac:dyDescent="0.25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</row>
    <row r="3431" spans="1:13" x14ac:dyDescent="0.25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 x14ac:dyDescent="0.2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</row>
    <row r="3433" spans="1:13" x14ac:dyDescent="0.25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 x14ac:dyDescent="0.25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 x14ac:dyDescent="0.25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 x14ac:dyDescent="0.25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</row>
    <row r="3437" spans="1:13" x14ac:dyDescent="0.25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</row>
    <row r="3438" spans="1:13" x14ac:dyDescent="0.25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</row>
    <row r="3439" spans="1:13" x14ac:dyDescent="0.2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 x14ac:dyDescent="0.25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</row>
    <row r="3441" spans="1:13" x14ac:dyDescent="0.25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</row>
    <row r="3442" spans="1:13" x14ac:dyDescent="0.25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 x14ac:dyDescent="0.25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 x14ac:dyDescent="0.25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 x14ac:dyDescent="0.25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</row>
    <row r="3446" spans="1:13" x14ac:dyDescent="0.25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</row>
    <row r="3447" spans="1:13" x14ac:dyDescent="0.25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</row>
    <row r="3448" spans="1:13" x14ac:dyDescent="0.25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 x14ac:dyDescent="0.25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</row>
    <row r="3450" spans="1:13" x14ac:dyDescent="0.25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</row>
    <row r="3451" spans="1:13" x14ac:dyDescent="0.2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</row>
    <row r="3452" spans="1:13" x14ac:dyDescent="0.25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</row>
    <row r="3453" spans="1:13" x14ac:dyDescent="0.25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</row>
    <row r="3454" spans="1:13" x14ac:dyDescent="0.25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</row>
    <row r="3455" spans="1:13" x14ac:dyDescent="0.25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 x14ac:dyDescent="0.25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 x14ac:dyDescent="0.25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</row>
    <row r="3458" spans="1:13" x14ac:dyDescent="0.2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</row>
    <row r="3459" spans="1:13" x14ac:dyDescent="0.2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 x14ac:dyDescent="0.2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 x14ac:dyDescent="0.25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 x14ac:dyDescent="0.25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 x14ac:dyDescent="0.25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 x14ac:dyDescent="0.25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 x14ac:dyDescent="0.25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 x14ac:dyDescent="0.25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</row>
    <row r="3467" spans="1:13" x14ac:dyDescent="0.2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</row>
    <row r="3468" spans="1:13" x14ac:dyDescent="0.25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</row>
    <row r="3469" spans="1:13" x14ac:dyDescent="0.25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 x14ac:dyDescent="0.25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 x14ac:dyDescent="0.25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 x14ac:dyDescent="0.25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</row>
    <row r="3473" spans="1:13" x14ac:dyDescent="0.25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 x14ac:dyDescent="0.25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</row>
    <row r="3475" spans="1:13" x14ac:dyDescent="0.25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</row>
    <row r="3476" spans="1:13" x14ac:dyDescent="0.25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</row>
    <row r="3477" spans="1:13" x14ac:dyDescent="0.25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</row>
    <row r="3478" spans="1:13" x14ac:dyDescent="0.25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</row>
    <row r="3479" spans="1:13" x14ac:dyDescent="0.25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 x14ac:dyDescent="0.2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</row>
    <row r="3481" spans="1:13" x14ac:dyDescent="0.25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 x14ac:dyDescent="0.25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 x14ac:dyDescent="0.25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</row>
    <row r="3484" spans="1:13" x14ac:dyDescent="0.2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</row>
    <row r="3485" spans="1:13" x14ac:dyDescent="0.25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</row>
    <row r="3486" spans="1:13" x14ac:dyDescent="0.25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</row>
    <row r="3487" spans="1:13" x14ac:dyDescent="0.25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</row>
    <row r="3488" spans="1:13" x14ac:dyDescent="0.25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</row>
    <row r="3489" spans="1:13" x14ac:dyDescent="0.25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 x14ac:dyDescent="0.2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 x14ac:dyDescent="0.2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 x14ac:dyDescent="0.2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 x14ac:dyDescent="0.25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</row>
    <row r="3494" spans="1:13" x14ac:dyDescent="0.25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</row>
    <row r="3495" spans="1:13" x14ac:dyDescent="0.2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 x14ac:dyDescent="0.25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 x14ac:dyDescent="0.25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</row>
    <row r="3498" spans="1:13" x14ac:dyDescent="0.2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</row>
    <row r="3499" spans="1:13" x14ac:dyDescent="0.25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</row>
    <row r="3500" spans="1:13" x14ac:dyDescent="0.25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</row>
    <row r="3501" spans="1:13" x14ac:dyDescent="0.2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</row>
    <row r="3502" spans="1:13" x14ac:dyDescent="0.25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 x14ac:dyDescent="0.25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 x14ac:dyDescent="0.25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 x14ac:dyDescent="0.25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 x14ac:dyDescent="0.25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 x14ac:dyDescent="0.2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 x14ac:dyDescent="0.2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 x14ac:dyDescent="0.2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</row>
    <row r="3510" spans="1:13" x14ac:dyDescent="0.2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 x14ac:dyDescent="0.2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 x14ac:dyDescent="0.25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 x14ac:dyDescent="0.25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</row>
    <row r="3514" spans="1:13" x14ac:dyDescent="0.2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 x14ac:dyDescent="0.25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</row>
    <row r="3516" spans="1:13" x14ac:dyDescent="0.25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 x14ac:dyDescent="0.25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 x14ac:dyDescent="0.2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 x14ac:dyDescent="0.25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 x14ac:dyDescent="0.25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</row>
    <row r="3521" spans="1:13" x14ac:dyDescent="0.25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</row>
    <row r="3522" spans="1:13" x14ac:dyDescent="0.25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 x14ac:dyDescent="0.25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</row>
    <row r="3524" spans="1:13" x14ac:dyDescent="0.25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 x14ac:dyDescent="0.25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 x14ac:dyDescent="0.25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</row>
    <row r="3527" spans="1:13" x14ac:dyDescent="0.2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 x14ac:dyDescent="0.25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 x14ac:dyDescent="0.25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 x14ac:dyDescent="0.25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</row>
    <row r="3531" spans="1:13" x14ac:dyDescent="0.25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 x14ac:dyDescent="0.25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</row>
    <row r="3533" spans="1:13" x14ac:dyDescent="0.25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</row>
    <row r="3534" spans="1:13" x14ac:dyDescent="0.2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</row>
    <row r="3535" spans="1:13" x14ac:dyDescent="0.2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</row>
    <row r="3536" spans="1:13" x14ac:dyDescent="0.25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</row>
    <row r="3537" spans="1:13" x14ac:dyDescent="0.25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</row>
    <row r="3538" spans="1:13" x14ac:dyDescent="0.25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 x14ac:dyDescent="0.2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 x14ac:dyDescent="0.2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 x14ac:dyDescent="0.25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 x14ac:dyDescent="0.25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</row>
    <row r="3543" spans="1:13" x14ac:dyDescent="0.2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</row>
    <row r="3544" spans="1:13" x14ac:dyDescent="0.25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 x14ac:dyDescent="0.25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 x14ac:dyDescent="0.25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</row>
    <row r="3547" spans="1:13" x14ac:dyDescent="0.25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</row>
    <row r="3548" spans="1:13" x14ac:dyDescent="0.2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</row>
    <row r="3549" spans="1:13" x14ac:dyDescent="0.2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 x14ac:dyDescent="0.25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 x14ac:dyDescent="0.25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 x14ac:dyDescent="0.2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 x14ac:dyDescent="0.25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</row>
    <row r="3554" spans="1:13" x14ac:dyDescent="0.25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</row>
    <row r="3555" spans="1:13" x14ac:dyDescent="0.25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 x14ac:dyDescent="0.25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 x14ac:dyDescent="0.25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</row>
    <row r="3558" spans="1:13" x14ac:dyDescent="0.25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 x14ac:dyDescent="0.25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</row>
    <row r="3560" spans="1:13" x14ac:dyDescent="0.25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 x14ac:dyDescent="0.25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 x14ac:dyDescent="0.2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 x14ac:dyDescent="0.2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</row>
    <row r="3564" spans="1:13" x14ac:dyDescent="0.25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</row>
    <row r="3565" spans="1:13" x14ac:dyDescent="0.25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</row>
    <row r="3566" spans="1:13" x14ac:dyDescent="0.25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</row>
    <row r="3567" spans="1:13" x14ac:dyDescent="0.25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 x14ac:dyDescent="0.25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</row>
    <row r="3569" spans="1:13" x14ac:dyDescent="0.25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</row>
    <row r="3570" spans="1:13" x14ac:dyDescent="0.2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</row>
    <row r="3571" spans="1:13" x14ac:dyDescent="0.2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</row>
    <row r="3572" spans="1:13" x14ac:dyDescent="0.25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</row>
    <row r="3573" spans="1:13" x14ac:dyDescent="0.25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</row>
    <row r="3574" spans="1:13" x14ac:dyDescent="0.25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</row>
    <row r="3575" spans="1:13" x14ac:dyDescent="0.25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</row>
    <row r="3576" spans="1:13" x14ac:dyDescent="0.25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</row>
    <row r="3577" spans="1:13" x14ac:dyDescent="0.25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 x14ac:dyDescent="0.25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</row>
    <row r="3579" spans="1:13" x14ac:dyDescent="0.25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</row>
    <row r="3580" spans="1:13" x14ac:dyDescent="0.2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</row>
    <row r="3581" spans="1:13" x14ac:dyDescent="0.25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</row>
    <row r="3582" spans="1:13" x14ac:dyDescent="0.25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</row>
    <row r="3583" spans="1:13" x14ac:dyDescent="0.25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 x14ac:dyDescent="0.2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</row>
    <row r="3585" spans="1:13" x14ac:dyDescent="0.2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 x14ac:dyDescent="0.25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</row>
    <row r="3587" spans="1:13" x14ac:dyDescent="0.25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</row>
    <row r="3588" spans="1:13" x14ac:dyDescent="0.25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</row>
    <row r="3589" spans="1:13" x14ac:dyDescent="0.25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</row>
    <row r="3590" spans="1:13" x14ac:dyDescent="0.25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</row>
    <row r="3591" spans="1:13" x14ac:dyDescent="0.25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</row>
    <row r="3592" spans="1:13" x14ac:dyDescent="0.25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 x14ac:dyDescent="0.25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 x14ac:dyDescent="0.25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 x14ac:dyDescent="0.25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</row>
    <row r="3596" spans="1:13" x14ac:dyDescent="0.25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 x14ac:dyDescent="0.25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 x14ac:dyDescent="0.2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 x14ac:dyDescent="0.2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</row>
    <row r="3600" spans="1:13" x14ac:dyDescent="0.25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</row>
    <row r="3601" spans="1:13" x14ac:dyDescent="0.25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 x14ac:dyDescent="0.25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 x14ac:dyDescent="0.25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 x14ac:dyDescent="0.25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</row>
    <row r="3605" spans="1:13" x14ac:dyDescent="0.2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</row>
    <row r="3606" spans="1:13" x14ac:dyDescent="0.25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 x14ac:dyDescent="0.25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 x14ac:dyDescent="0.25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 x14ac:dyDescent="0.25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 x14ac:dyDescent="0.2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 x14ac:dyDescent="0.25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 x14ac:dyDescent="0.25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</row>
    <row r="3613" spans="1:13" x14ac:dyDescent="0.25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</row>
    <row r="3614" spans="1:13" x14ac:dyDescent="0.25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 x14ac:dyDescent="0.25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</row>
    <row r="3616" spans="1:13" x14ac:dyDescent="0.25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 x14ac:dyDescent="0.25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</row>
    <row r="3618" spans="1:13" x14ac:dyDescent="0.25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 x14ac:dyDescent="0.2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</row>
    <row r="3620" spans="1:13" x14ac:dyDescent="0.25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 x14ac:dyDescent="0.25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</row>
    <row r="3622" spans="1:13" x14ac:dyDescent="0.25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</row>
    <row r="3623" spans="1:13" x14ac:dyDescent="0.25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</row>
    <row r="3624" spans="1:13" x14ac:dyDescent="0.25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 x14ac:dyDescent="0.25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</row>
    <row r="3626" spans="1:13" x14ac:dyDescent="0.2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</row>
    <row r="3627" spans="1:13" x14ac:dyDescent="0.2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</row>
    <row r="3628" spans="1:13" x14ac:dyDescent="0.25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 x14ac:dyDescent="0.25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 x14ac:dyDescent="0.25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</row>
    <row r="3631" spans="1:13" x14ac:dyDescent="0.25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</row>
    <row r="3632" spans="1:13" x14ac:dyDescent="0.25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</row>
    <row r="3633" spans="1:13" x14ac:dyDescent="0.25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 x14ac:dyDescent="0.25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 x14ac:dyDescent="0.2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 x14ac:dyDescent="0.2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 x14ac:dyDescent="0.2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 x14ac:dyDescent="0.2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 x14ac:dyDescent="0.2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 x14ac:dyDescent="0.2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 x14ac:dyDescent="0.2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 x14ac:dyDescent="0.25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</row>
    <row r="3643" spans="1:13" x14ac:dyDescent="0.25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</row>
    <row r="3644" spans="1:13" x14ac:dyDescent="0.2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</row>
    <row r="3645" spans="1:13" x14ac:dyDescent="0.2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</row>
    <row r="3646" spans="1:13" x14ac:dyDescent="0.25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</row>
    <row r="3647" spans="1:13" x14ac:dyDescent="0.25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</row>
    <row r="3648" spans="1:13" x14ac:dyDescent="0.25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 x14ac:dyDescent="0.25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</row>
    <row r="3650" spans="1:13" x14ac:dyDescent="0.25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</row>
    <row r="3651" spans="1:13" x14ac:dyDescent="0.25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 x14ac:dyDescent="0.2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</row>
    <row r="3653" spans="1:13" x14ac:dyDescent="0.2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</row>
    <row r="3654" spans="1:13" x14ac:dyDescent="0.25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</row>
    <row r="3655" spans="1:13" x14ac:dyDescent="0.25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 x14ac:dyDescent="0.25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</row>
    <row r="3657" spans="1:13" x14ac:dyDescent="0.25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 x14ac:dyDescent="0.25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 x14ac:dyDescent="0.2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</row>
    <row r="3660" spans="1:13" x14ac:dyDescent="0.25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 x14ac:dyDescent="0.25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</row>
    <row r="3662" spans="1:13" x14ac:dyDescent="0.25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 x14ac:dyDescent="0.25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</row>
    <row r="3664" spans="1:13" x14ac:dyDescent="0.25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 x14ac:dyDescent="0.25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 x14ac:dyDescent="0.2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</row>
    <row r="3667" spans="1:13" x14ac:dyDescent="0.2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 x14ac:dyDescent="0.2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 x14ac:dyDescent="0.2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 x14ac:dyDescent="0.2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 x14ac:dyDescent="0.25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</row>
    <row r="3672" spans="1:13" x14ac:dyDescent="0.25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 x14ac:dyDescent="0.25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</row>
    <row r="3674" spans="1:13" x14ac:dyDescent="0.25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 x14ac:dyDescent="0.25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</row>
    <row r="3676" spans="1:13" x14ac:dyDescent="0.25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</row>
    <row r="3677" spans="1:13" x14ac:dyDescent="0.25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</row>
    <row r="3678" spans="1:13" x14ac:dyDescent="0.25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</row>
    <row r="3679" spans="1:13" x14ac:dyDescent="0.2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 x14ac:dyDescent="0.2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</row>
    <row r="3681" spans="1:13" x14ac:dyDescent="0.2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</row>
    <row r="3682" spans="1:13" x14ac:dyDescent="0.2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 x14ac:dyDescent="0.2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</row>
    <row r="3684" spans="1:13" x14ac:dyDescent="0.2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</row>
    <row r="3685" spans="1:13" x14ac:dyDescent="0.25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</row>
    <row r="3686" spans="1:13" x14ac:dyDescent="0.25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</row>
    <row r="3687" spans="1:13" x14ac:dyDescent="0.25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</row>
    <row r="3688" spans="1:13" x14ac:dyDescent="0.25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</row>
    <row r="3689" spans="1:13" x14ac:dyDescent="0.25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</row>
    <row r="3690" spans="1:13" x14ac:dyDescent="0.25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 x14ac:dyDescent="0.25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</row>
    <row r="3692" spans="1:13" x14ac:dyDescent="0.2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</row>
    <row r="3693" spans="1:13" x14ac:dyDescent="0.25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 x14ac:dyDescent="0.25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 x14ac:dyDescent="0.25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 x14ac:dyDescent="0.25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 x14ac:dyDescent="0.25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 x14ac:dyDescent="0.25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</row>
    <row r="3699" spans="1:13" x14ac:dyDescent="0.25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</row>
    <row r="3700" spans="1:13" x14ac:dyDescent="0.25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 x14ac:dyDescent="0.25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</row>
    <row r="3702" spans="1:13" x14ac:dyDescent="0.25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</row>
    <row r="3703" spans="1:13" x14ac:dyDescent="0.25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</row>
    <row r="3704" spans="1:13" x14ac:dyDescent="0.2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</row>
    <row r="3705" spans="1:13" x14ac:dyDescent="0.25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 x14ac:dyDescent="0.25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 x14ac:dyDescent="0.25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 x14ac:dyDescent="0.25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</row>
    <row r="3709" spans="1:13" x14ac:dyDescent="0.25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</row>
    <row r="3710" spans="1:13" x14ac:dyDescent="0.25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 x14ac:dyDescent="0.25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</row>
    <row r="3712" spans="1:13" x14ac:dyDescent="0.25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</row>
    <row r="3713" spans="1:13" x14ac:dyDescent="0.25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</row>
    <row r="3714" spans="1:13" x14ac:dyDescent="0.25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 x14ac:dyDescent="0.25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 x14ac:dyDescent="0.25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 x14ac:dyDescent="0.25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 x14ac:dyDescent="0.25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</row>
    <row r="3719" spans="1:13" x14ac:dyDescent="0.25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</row>
    <row r="3720" spans="1:13" x14ac:dyDescent="0.25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</row>
    <row r="3721" spans="1:13" x14ac:dyDescent="0.25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 x14ac:dyDescent="0.25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 x14ac:dyDescent="0.25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</row>
    <row r="3724" spans="1:13" x14ac:dyDescent="0.25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 x14ac:dyDescent="0.25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</row>
    <row r="3726" spans="1:13" x14ac:dyDescent="0.25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</row>
    <row r="3727" spans="1:13" x14ac:dyDescent="0.25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 x14ac:dyDescent="0.25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</row>
    <row r="3729" spans="1:13" x14ac:dyDescent="0.25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</row>
    <row r="3730" spans="1:13" x14ac:dyDescent="0.25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 x14ac:dyDescent="0.2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</row>
    <row r="3732" spans="1:13" x14ac:dyDescent="0.2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</row>
    <row r="3733" spans="1:13" x14ac:dyDescent="0.25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 x14ac:dyDescent="0.25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</row>
    <row r="3735" spans="1:13" x14ac:dyDescent="0.25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</row>
    <row r="3736" spans="1:13" x14ac:dyDescent="0.25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</row>
    <row r="3737" spans="1:13" x14ac:dyDescent="0.25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</row>
    <row r="3738" spans="1:13" x14ac:dyDescent="0.25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</row>
    <row r="3739" spans="1:13" x14ac:dyDescent="0.25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 x14ac:dyDescent="0.25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</row>
    <row r="3741" spans="1:13" x14ac:dyDescent="0.25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</row>
    <row r="3742" spans="1:13" x14ac:dyDescent="0.25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 x14ac:dyDescent="0.25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</row>
    <row r="3744" spans="1:13" x14ac:dyDescent="0.25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</row>
    <row r="3745" spans="1:13" x14ac:dyDescent="0.25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</row>
    <row r="3746" spans="1:13" x14ac:dyDescent="0.25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 x14ac:dyDescent="0.25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</row>
    <row r="3748" spans="1:13" x14ac:dyDescent="0.25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 x14ac:dyDescent="0.2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</row>
    <row r="3750" spans="1:13" x14ac:dyDescent="0.2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</row>
    <row r="3751" spans="1:13" x14ac:dyDescent="0.2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</row>
    <row r="3752" spans="1:13" x14ac:dyDescent="0.2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 x14ac:dyDescent="0.2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</row>
    <row r="3754" spans="1:13" x14ac:dyDescent="0.25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</row>
    <row r="3755" spans="1:13" x14ac:dyDescent="0.25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 x14ac:dyDescent="0.25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</row>
    <row r="3757" spans="1:13" x14ac:dyDescent="0.25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</row>
    <row r="3758" spans="1:13" x14ac:dyDescent="0.25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</row>
    <row r="3759" spans="1:13" x14ac:dyDescent="0.25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</row>
    <row r="3760" spans="1:13" x14ac:dyDescent="0.25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</row>
    <row r="3761" spans="1:13" x14ac:dyDescent="0.25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</row>
    <row r="3762" spans="1:13" x14ac:dyDescent="0.25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</row>
    <row r="3763" spans="1:13" x14ac:dyDescent="0.25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</row>
    <row r="3764" spans="1:13" x14ac:dyDescent="0.25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 x14ac:dyDescent="0.25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</row>
    <row r="3766" spans="1:13" x14ac:dyDescent="0.25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 x14ac:dyDescent="0.25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 x14ac:dyDescent="0.25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</row>
    <row r="3769" spans="1:13" x14ac:dyDescent="0.25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 x14ac:dyDescent="0.25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</row>
    <row r="3771" spans="1:13" x14ac:dyDescent="0.25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</row>
    <row r="3772" spans="1:13" x14ac:dyDescent="0.25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 x14ac:dyDescent="0.25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</row>
    <row r="3774" spans="1:13" x14ac:dyDescent="0.25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 x14ac:dyDescent="0.2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 x14ac:dyDescent="0.25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 x14ac:dyDescent="0.25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 x14ac:dyDescent="0.25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</row>
    <row r="3779" spans="1:13" x14ac:dyDescent="0.25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 x14ac:dyDescent="0.25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 x14ac:dyDescent="0.25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</row>
    <row r="3782" spans="1:13" x14ac:dyDescent="0.25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 x14ac:dyDescent="0.25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 x14ac:dyDescent="0.25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</row>
    <row r="3785" spans="1:13" x14ac:dyDescent="0.25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</row>
    <row r="3786" spans="1:13" x14ac:dyDescent="0.25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 x14ac:dyDescent="0.25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 x14ac:dyDescent="0.25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</row>
    <row r="3789" spans="1:13" x14ac:dyDescent="0.25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 x14ac:dyDescent="0.25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 x14ac:dyDescent="0.25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</row>
    <row r="3792" spans="1:13" x14ac:dyDescent="0.25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</row>
    <row r="3793" spans="1:13" x14ac:dyDescent="0.25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</row>
    <row r="3794" spans="1:13" x14ac:dyDescent="0.25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</row>
    <row r="3795" spans="1:13" x14ac:dyDescent="0.25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 x14ac:dyDescent="0.25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</row>
    <row r="3797" spans="1:13" x14ac:dyDescent="0.25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 x14ac:dyDescent="0.25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 x14ac:dyDescent="0.25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 x14ac:dyDescent="0.25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 x14ac:dyDescent="0.25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 x14ac:dyDescent="0.2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 x14ac:dyDescent="0.2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</row>
    <row r="3804" spans="1:13" x14ac:dyDescent="0.2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</row>
    <row r="3805" spans="1:13" x14ac:dyDescent="0.25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 x14ac:dyDescent="0.25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 x14ac:dyDescent="0.25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</row>
    <row r="3808" spans="1:13" x14ac:dyDescent="0.2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 x14ac:dyDescent="0.2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 x14ac:dyDescent="0.2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</row>
    <row r="3811" spans="1:13" x14ac:dyDescent="0.25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 x14ac:dyDescent="0.25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 x14ac:dyDescent="0.25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</row>
    <row r="3814" spans="1:13" x14ac:dyDescent="0.25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</row>
    <row r="3815" spans="1:13" x14ac:dyDescent="0.25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 x14ac:dyDescent="0.25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</row>
    <row r="3817" spans="1:13" x14ac:dyDescent="0.25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 x14ac:dyDescent="0.25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 x14ac:dyDescent="0.25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 x14ac:dyDescent="0.25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</row>
    <row r="3821" spans="1:13" x14ac:dyDescent="0.2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 x14ac:dyDescent="0.2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</row>
    <row r="3823" spans="1:13" x14ac:dyDescent="0.2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 x14ac:dyDescent="0.2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</row>
    <row r="3825" spans="1:13" x14ac:dyDescent="0.25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 x14ac:dyDescent="0.25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</row>
    <row r="3827" spans="1:13" x14ac:dyDescent="0.25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</row>
    <row r="3828" spans="1:13" x14ac:dyDescent="0.25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</row>
    <row r="3829" spans="1:13" x14ac:dyDescent="0.2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</row>
    <row r="3830" spans="1:13" x14ac:dyDescent="0.25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</row>
    <row r="3831" spans="1:13" x14ac:dyDescent="0.25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</row>
    <row r="3832" spans="1:13" x14ac:dyDescent="0.25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 x14ac:dyDescent="0.25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</row>
    <row r="3834" spans="1:13" x14ac:dyDescent="0.25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 x14ac:dyDescent="0.25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 x14ac:dyDescent="0.25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</row>
    <row r="3837" spans="1:13" x14ac:dyDescent="0.25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</row>
    <row r="3838" spans="1:13" x14ac:dyDescent="0.25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</row>
    <row r="3839" spans="1:13" x14ac:dyDescent="0.2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</row>
    <row r="3840" spans="1:13" x14ac:dyDescent="0.25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 x14ac:dyDescent="0.25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 x14ac:dyDescent="0.25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</row>
    <row r="3843" spans="1:13" x14ac:dyDescent="0.25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 x14ac:dyDescent="0.2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 x14ac:dyDescent="0.2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</row>
    <row r="3846" spans="1:13" x14ac:dyDescent="0.25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</row>
    <row r="3847" spans="1:13" x14ac:dyDescent="0.25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</row>
    <row r="3848" spans="1:13" x14ac:dyDescent="0.25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</row>
    <row r="3849" spans="1:13" x14ac:dyDescent="0.25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</row>
    <row r="3850" spans="1:13" x14ac:dyDescent="0.25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</row>
    <row r="3851" spans="1:13" x14ac:dyDescent="0.25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 x14ac:dyDescent="0.25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</row>
    <row r="3853" spans="1:13" x14ac:dyDescent="0.25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</row>
    <row r="3854" spans="1:13" x14ac:dyDescent="0.25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 x14ac:dyDescent="0.25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</row>
    <row r="3856" spans="1:13" x14ac:dyDescent="0.25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</row>
    <row r="3857" spans="1:13" x14ac:dyDescent="0.25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 x14ac:dyDescent="0.25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</row>
    <row r="3859" spans="1:13" x14ac:dyDescent="0.25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 x14ac:dyDescent="0.25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 x14ac:dyDescent="0.25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 x14ac:dyDescent="0.25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 x14ac:dyDescent="0.25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 x14ac:dyDescent="0.25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</row>
    <row r="3865" spans="1:13" x14ac:dyDescent="0.25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</row>
    <row r="3866" spans="1:13" x14ac:dyDescent="0.25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 x14ac:dyDescent="0.25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 x14ac:dyDescent="0.25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</row>
    <row r="3869" spans="1:13" x14ac:dyDescent="0.2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</row>
    <row r="3870" spans="1:13" x14ac:dyDescent="0.2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</row>
    <row r="3871" spans="1:13" x14ac:dyDescent="0.2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 x14ac:dyDescent="0.25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 x14ac:dyDescent="0.25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 x14ac:dyDescent="0.25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 x14ac:dyDescent="0.2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 x14ac:dyDescent="0.25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</row>
    <row r="3877" spans="1:13" x14ac:dyDescent="0.25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 x14ac:dyDescent="0.25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</row>
    <row r="3879" spans="1:13" x14ac:dyDescent="0.25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</row>
    <row r="3880" spans="1:13" x14ac:dyDescent="0.25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</row>
    <row r="3881" spans="1:13" x14ac:dyDescent="0.25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 x14ac:dyDescent="0.2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</row>
    <row r="3883" spans="1:13" x14ac:dyDescent="0.25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 x14ac:dyDescent="0.25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</row>
    <row r="3885" spans="1:13" x14ac:dyDescent="0.25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</row>
    <row r="3886" spans="1:13" x14ac:dyDescent="0.25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</row>
    <row r="3887" spans="1:13" x14ac:dyDescent="0.25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</row>
    <row r="3888" spans="1:13" x14ac:dyDescent="0.25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</row>
    <row r="3889" spans="1:13" x14ac:dyDescent="0.25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 x14ac:dyDescent="0.25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</row>
    <row r="3891" spans="1:13" x14ac:dyDescent="0.25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 x14ac:dyDescent="0.25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 x14ac:dyDescent="0.25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</row>
    <row r="3894" spans="1:13" x14ac:dyDescent="0.25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</row>
    <row r="3895" spans="1:13" x14ac:dyDescent="0.25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</row>
    <row r="3896" spans="1:13" x14ac:dyDescent="0.25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 x14ac:dyDescent="0.25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 x14ac:dyDescent="0.25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 x14ac:dyDescent="0.25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 x14ac:dyDescent="0.25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</row>
    <row r="3901" spans="1:13" x14ac:dyDescent="0.25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</row>
    <row r="3902" spans="1:13" x14ac:dyDescent="0.25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 x14ac:dyDescent="0.2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 x14ac:dyDescent="0.25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</row>
    <row r="3905" spans="1:13" x14ac:dyDescent="0.2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 x14ac:dyDescent="0.2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</row>
    <row r="3907" spans="1:13" x14ac:dyDescent="0.2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</row>
    <row r="3908" spans="1:13" x14ac:dyDescent="0.2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</row>
    <row r="3909" spans="1:13" x14ac:dyDescent="0.2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 x14ac:dyDescent="0.25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 x14ac:dyDescent="0.25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 x14ac:dyDescent="0.25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</row>
    <row r="3913" spans="1:13" x14ac:dyDescent="0.25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</row>
    <row r="3914" spans="1:13" x14ac:dyDescent="0.25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 x14ac:dyDescent="0.25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</row>
    <row r="3916" spans="1:13" x14ac:dyDescent="0.2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 x14ac:dyDescent="0.2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</row>
    <row r="3918" spans="1:13" x14ac:dyDescent="0.25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</row>
    <row r="3919" spans="1:13" x14ac:dyDescent="0.25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</row>
    <row r="3920" spans="1:13" x14ac:dyDescent="0.25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</row>
    <row r="3921" spans="1:13" x14ac:dyDescent="0.25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</row>
    <row r="3922" spans="1:13" x14ac:dyDescent="0.25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</row>
    <row r="3923" spans="1:13" x14ac:dyDescent="0.25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</row>
    <row r="3924" spans="1:13" x14ac:dyDescent="0.25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</row>
    <row r="3925" spans="1:13" x14ac:dyDescent="0.25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</row>
    <row r="3926" spans="1:13" x14ac:dyDescent="0.2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 x14ac:dyDescent="0.25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</row>
    <row r="3928" spans="1:13" x14ac:dyDescent="0.25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</row>
    <row r="3929" spans="1:13" x14ac:dyDescent="0.25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 x14ac:dyDescent="0.25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 x14ac:dyDescent="0.25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 x14ac:dyDescent="0.25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</row>
    <row r="3933" spans="1:13" x14ac:dyDescent="0.25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 x14ac:dyDescent="0.25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 x14ac:dyDescent="0.25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 x14ac:dyDescent="0.25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 x14ac:dyDescent="0.25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</row>
    <row r="3938" spans="1:13" x14ac:dyDescent="0.25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</row>
    <row r="3939" spans="1:13" x14ac:dyDescent="0.25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</row>
    <row r="3940" spans="1:13" x14ac:dyDescent="0.25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</row>
    <row r="3941" spans="1:13" x14ac:dyDescent="0.25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</row>
    <row r="3942" spans="1:13" x14ac:dyDescent="0.25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</row>
    <row r="3943" spans="1:13" x14ac:dyDescent="0.25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</row>
    <row r="3944" spans="1:13" x14ac:dyDescent="0.25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 x14ac:dyDescent="0.25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</row>
    <row r="3946" spans="1:13" x14ac:dyDescent="0.25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 x14ac:dyDescent="0.25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 x14ac:dyDescent="0.25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</row>
    <row r="3949" spans="1:13" x14ac:dyDescent="0.2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</row>
    <row r="3950" spans="1:13" x14ac:dyDescent="0.25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 x14ac:dyDescent="0.25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</row>
    <row r="3952" spans="1:13" x14ac:dyDescent="0.25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</row>
    <row r="3953" spans="1:13" x14ac:dyDescent="0.25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</row>
    <row r="3954" spans="1:13" x14ac:dyDescent="0.25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 x14ac:dyDescent="0.25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</row>
    <row r="3956" spans="1:13" x14ac:dyDescent="0.25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 x14ac:dyDescent="0.25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 x14ac:dyDescent="0.25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</row>
    <row r="3959" spans="1:13" x14ac:dyDescent="0.25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</row>
    <row r="3960" spans="1:13" x14ac:dyDescent="0.25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 x14ac:dyDescent="0.25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</row>
    <row r="3962" spans="1:13" x14ac:dyDescent="0.25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 x14ac:dyDescent="0.25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 x14ac:dyDescent="0.25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 x14ac:dyDescent="0.25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 x14ac:dyDescent="0.25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 x14ac:dyDescent="0.25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 x14ac:dyDescent="0.25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 x14ac:dyDescent="0.25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</row>
    <row r="3970" spans="1:13" x14ac:dyDescent="0.25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</row>
    <row r="3971" spans="1:13" x14ac:dyDescent="0.25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</row>
    <row r="3972" spans="1:13" x14ac:dyDescent="0.25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 x14ac:dyDescent="0.25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</row>
    <row r="3974" spans="1:13" x14ac:dyDescent="0.2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 x14ac:dyDescent="0.25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 x14ac:dyDescent="0.25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</row>
    <row r="3977" spans="1:13" x14ac:dyDescent="0.25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 x14ac:dyDescent="0.25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 x14ac:dyDescent="0.25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 x14ac:dyDescent="0.2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</row>
    <row r="3981" spans="1:13" x14ac:dyDescent="0.25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 x14ac:dyDescent="0.25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</row>
    <row r="3983" spans="1:13" x14ac:dyDescent="0.25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</row>
    <row r="3984" spans="1:13" x14ac:dyDescent="0.25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 x14ac:dyDescent="0.25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</row>
    <row r="3986" spans="1:13" x14ac:dyDescent="0.25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</row>
    <row r="3987" spans="1:13" x14ac:dyDescent="0.25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 x14ac:dyDescent="0.25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 x14ac:dyDescent="0.25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 x14ac:dyDescent="0.25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</row>
    <row r="3991" spans="1:13" x14ac:dyDescent="0.25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 x14ac:dyDescent="0.25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</row>
    <row r="3993" spans="1:13" x14ac:dyDescent="0.25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 x14ac:dyDescent="0.25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</row>
    <row r="3995" spans="1:13" x14ac:dyDescent="0.25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</row>
    <row r="3996" spans="1:13" x14ac:dyDescent="0.2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</row>
    <row r="3997" spans="1:13" x14ac:dyDescent="0.2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</row>
    <row r="3998" spans="1:13" x14ac:dyDescent="0.25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 x14ac:dyDescent="0.25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 x14ac:dyDescent="0.25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</row>
    <row r="4001" spans="1:13" x14ac:dyDescent="0.25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</row>
    <row r="4002" spans="1:13" x14ac:dyDescent="0.25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 x14ac:dyDescent="0.25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 x14ac:dyDescent="0.25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</row>
    <row r="4005" spans="1:13" x14ac:dyDescent="0.25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</row>
    <row r="4006" spans="1:13" x14ac:dyDescent="0.25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</row>
    <row r="4007" spans="1:13" x14ac:dyDescent="0.25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 x14ac:dyDescent="0.25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</row>
    <row r="4009" spans="1:13" x14ac:dyDescent="0.25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</row>
    <row r="4010" spans="1:13" x14ac:dyDescent="0.25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 x14ac:dyDescent="0.25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</row>
    <row r="4012" spans="1:13" x14ac:dyDescent="0.25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</row>
    <row r="4013" spans="1:13" x14ac:dyDescent="0.25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 x14ac:dyDescent="0.25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</row>
    <row r="4015" spans="1:13" x14ac:dyDescent="0.2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</row>
    <row r="4016" spans="1:13" x14ac:dyDescent="0.2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</row>
    <row r="4017" spans="1:13" x14ac:dyDescent="0.2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</row>
    <row r="4018" spans="1:13" x14ac:dyDescent="0.2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</row>
    <row r="4019" spans="1:13" x14ac:dyDescent="0.25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 x14ac:dyDescent="0.25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</row>
    <row r="4021" spans="1:13" x14ac:dyDescent="0.25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</row>
    <row r="4022" spans="1:13" x14ac:dyDescent="0.25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 x14ac:dyDescent="0.25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</row>
    <row r="4024" spans="1:13" x14ac:dyDescent="0.25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</row>
    <row r="4025" spans="1:13" x14ac:dyDescent="0.25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</row>
    <row r="4026" spans="1:13" x14ac:dyDescent="0.25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</row>
    <row r="4027" spans="1:13" x14ac:dyDescent="0.2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</row>
    <row r="4028" spans="1:13" x14ac:dyDescent="0.25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</row>
    <row r="4029" spans="1:13" x14ac:dyDescent="0.25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 x14ac:dyDescent="0.25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</row>
    <row r="4031" spans="1:13" x14ac:dyDescent="0.25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 x14ac:dyDescent="0.25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</row>
    <row r="4033" spans="1:13" x14ac:dyDescent="0.25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 x14ac:dyDescent="0.25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</row>
    <row r="4035" spans="1:13" x14ac:dyDescent="0.25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 x14ac:dyDescent="0.25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</row>
    <row r="4037" spans="1:13" x14ac:dyDescent="0.25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</row>
    <row r="4038" spans="1:13" x14ac:dyDescent="0.25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</row>
    <row r="4039" spans="1:13" x14ac:dyDescent="0.2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</row>
    <row r="4040" spans="1:13" x14ac:dyDescent="0.2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</row>
    <row r="4041" spans="1:13" x14ac:dyDescent="0.2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 x14ac:dyDescent="0.2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</row>
    <row r="4043" spans="1:13" x14ac:dyDescent="0.25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</row>
    <row r="4044" spans="1:13" x14ac:dyDescent="0.25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</row>
    <row r="4045" spans="1:13" x14ac:dyDescent="0.25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 x14ac:dyDescent="0.25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 x14ac:dyDescent="0.25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</row>
    <row r="4048" spans="1:13" x14ac:dyDescent="0.25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</row>
    <row r="4049" spans="1:13" x14ac:dyDescent="0.25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 x14ac:dyDescent="0.25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 x14ac:dyDescent="0.25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 x14ac:dyDescent="0.25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 x14ac:dyDescent="0.2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 x14ac:dyDescent="0.2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 x14ac:dyDescent="0.2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 x14ac:dyDescent="0.25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 x14ac:dyDescent="0.25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 x14ac:dyDescent="0.25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 x14ac:dyDescent="0.2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</row>
    <row r="4060" spans="1:13" x14ac:dyDescent="0.25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</row>
    <row r="4061" spans="1:13" x14ac:dyDescent="0.25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 x14ac:dyDescent="0.25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 x14ac:dyDescent="0.25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 x14ac:dyDescent="0.25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</row>
    <row r="4065" spans="1:13" x14ac:dyDescent="0.25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</row>
    <row r="4066" spans="1:13" x14ac:dyDescent="0.25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 x14ac:dyDescent="0.2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 x14ac:dyDescent="0.25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</row>
    <row r="4069" spans="1:13" x14ac:dyDescent="0.25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</row>
    <row r="4070" spans="1:13" x14ac:dyDescent="0.25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 x14ac:dyDescent="0.25"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</row>
    <row r="4072" spans="1:13" x14ac:dyDescent="0.25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</row>
    <row r="4073" spans="1:13" x14ac:dyDescent="0.25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 x14ac:dyDescent="0.25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</row>
    <row r="4075" spans="1:13" x14ac:dyDescent="0.25"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</row>
    <row r="4076" spans="1:13" x14ac:dyDescent="0.25"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</row>
    <row r="4077" spans="1:13" x14ac:dyDescent="0.25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</row>
    <row r="4078" spans="1:13" x14ac:dyDescent="0.25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 x14ac:dyDescent="0.25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 x14ac:dyDescent="0.25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 x14ac:dyDescent="0.25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</row>
    <row r="4082" spans="1:13" x14ac:dyDescent="0.25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 x14ac:dyDescent="0.25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 x14ac:dyDescent="0.25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 x14ac:dyDescent="0.25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 x14ac:dyDescent="0.25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 x14ac:dyDescent="0.25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 x14ac:dyDescent="0.25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 x14ac:dyDescent="0.25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</row>
    <row r="4090" spans="1:13" x14ac:dyDescent="0.25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</row>
    <row r="4091" spans="1:13" x14ac:dyDescent="0.25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 x14ac:dyDescent="0.25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 x14ac:dyDescent="0.25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 x14ac:dyDescent="0.25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</row>
    <row r="4095" spans="1:13" x14ac:dyDescent="0.25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</row>
    <row r="4096" spans="1:13" x14ac:dyDescent="0.25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</row>
    <row r="4097" spans="1:13" x14ac:dyDescent="0.25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 x14ac:dyDescent="0.2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</row>
    <row r="4099" spans="1:13" x14ac:dyDescent="0.25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 x14ac:dyDescent="0.25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 x14ac:dyDescent="0.25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 x14ac:dyDescent="0.25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</row>
    <row r="4103" spans="1:13" x14ac:dyDescent="0.25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 x14ac:dyDescent="0.25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</row>
    <row r="4105" spans="1:13" x14ac:dyDescent="0.25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 x14ac:dyDescent="0.25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 x14ac:dyDescent="0.25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</row>
    <row r="4108" spans="1:13" x14ac:dyDescent="0.25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</row>
    <row r="4109" spans="1:13" x14ac:dyDescent="0.25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 x14ac:dyDescent="0.25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</row>
    <row r="4111" spans="1:13" x14ac:dyDescent="0.2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</row>
    <row r="4112" spans="1:13" x14ac:dyDescent="0.25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 x14ac:dyDescent="0.25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</row>
    <row r="4114" spans="1:13" x14ac:dyDescent="0.25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</row>
    <row r="4115" spans="1:13" x14ac:dyDescent="0.25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</row>
    <row r="4116" spans="1:13" x14ac:dyDescent="0.25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</row>
    <row r="4117" spans="1:13" x14ac:dyDescent="0.25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 x14ac:dyDescent="0.25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</row>
    <row r="4119" spans="1:13" x14ac:dyDescent="0.25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</row>
    <row r="4120" spans="1:13" x14ac:dyDescent="0.25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 x14ac:dyDescent="0.25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</row>
    <row r="4122" spans="1:13" x14ac:dyDescent="0.25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 x14ac:dyDescent="0.25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 x14ac:dyDescent="0.25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</row>
    <row r="4125" spans="1:13" x14ac:dyDescent="0.25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</row>
    <row r="4126" spans="1:13" x14ac:dyDescent="0.25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 x14ac:dyDescent="0.25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</row>
    <row r="4128" spans="1:13" x14ac:dyDescent="0.25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</row>
    <row r="4129" spans="1:13" x14ac:dyDescent="0.25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</row>
    <row r="4130" spans="1:13" x14ac:dyDescent="0.25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</row>
    <row r="4131" spans="1:13" x14ac:dyDescent="0.25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</row>
    <row r="4132" spans="1:13" x14ac:dyDescent="0.25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</row>
    <row r="4133" spans="1:13" x14ac:dyDescent="0.25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</row>
    <row r="4134" spans="1:13" x14ac:dyDescent="0.25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</row>
    <row r="4135" spans="1:13" x14ac:dyDescent="0.25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</row>
    <row r="4136" spans="1:13" x14ac:dyDescent="0.25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 x14ac:dyDescent="0.25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 x14ac:dyDescent="0.25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 x14ac:dyDescent="0.25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 x14ac:dyDescent="0.25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 x14ac:dyDescent="0.25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</row>
    <row r="4142" spans="1:13" x14ac:dyDescent="0.25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</row>
    <row r="4143" spans="1:13" x14ac:dyDescent="0.25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 x14ac:dyDescent="0.25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 x14ac:dyDescent="0.25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</row>
    <row r="4146" spans="1:13" x14ac:dyDescent="0.25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</row>
    <row r="4147" spans="1:13" x14ac:dyDescent="0.25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</row>
    <row r="4148" spans="1:13" x14ac:dyDescent="0.25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 x14ac:dyDescent="0.25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 x14ac:dyDescent="0.25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 x14ac:dyDescent="0.25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 x14ac:dyDescent="0.25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</row>
    <row r="4153" spans="1:13" x14ac:dyDescent="0.25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</row>
    <row r="4154" spans="1:13" x14ac:dyDescent="0.25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</row>
    <row r="4155" spans="1:13" x14ac:dyDescent="0.25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</row>
    <row r="4156" spans="1:13" x14ac:dyDescent="0.25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</row>
    <row r="4157" spans="1:13" x14ac:dyDescent="0.25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</row>
    <row r="4158" spans="1:13" x14ac:dyDescent="0.25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</row>
    <row r="4159" spans="1:13" x14ac:dyDescent="0.25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 x14ac:dyDescent="0.25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 x14ac:dyDescent="0.25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</row>
    <row r="4162" spans="1:13" x14ac:dyDescent="0.25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 x14ac:dyDescent="0.25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 x14ac:dyDescent="0.25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 x14ac:dyDescent="0.25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</row>
    <row r="4166" spans="1:13" x14ac:dyDescent="0.25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 x14ac:dyDescent="0.25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</row>
    <row r="4168" spans="1:13" x14ac:dyDescent="0.25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 x14ac:dyDescent="0.25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</row>
    <row r="4170" spans="1:13" x14ac:dyDescent="0.25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</row>
    <row r="4171" spans="1:13" x14ac:dyDescent="0.25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</row>
    <row r="4172" spans="1:13" x14ac:dyDescent="0.25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 x14ac:dyDescent="0.25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</row>
    <row r="4174" spans="1:13" x14ac:dyDescent="0.25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 x14ac:dyDescent="0.25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</row>
    <row r="4176" spans="1:13" x14ac:dyDescent="0.25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</row>
    <row r="4177" spans="1:13" x14ac:dyDescent="0.25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 x14ac:dyDescent="0.25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 x14ac:dyDescent="0.25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 x14ac:dyDescent="0.25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</row>
    <row r="4181" spans="1:13" x14ac:dyDescent="0.25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</row>
    <row r="4182" spans="1:13" x14ac:dyDescent="0.25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</row>
    <row r="4183" spans="1:13" x14ac:dyDescent="0.25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</row>
    <row r="4184" spans="1:13" x14ac:dyDescent="0.25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</row>
    <row r="4185" spans="1:13" x14ac:dyDescent="0.25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</row>
    <row r="4186" spans="1:13" x14ac:dyDescent="0.25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 x14ac:dyDescent="0.25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</row>
    <row r="4188" spans="1:13" x14ac:dyDescent="0.25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 x14ac:dyDescent="0.25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</row>
    <row r="4190" spans="1:13" x14ac:dyDescent="0.25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</row>
    <row r="4191" spans="1:13" x14ac:dyDescent="0.25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</row>
    <row r="4192" spans="1:13" x14ac:dyDescent="0.25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</row>
    <row r="4193" spans="1:13" x14ac:dyDescent="0.25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</row>
    <row r="4194" spans="1:13" x14ac:dyDescent="0.25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 x14ac:dyDescent="0.25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 x14ac:dyDescent="0.25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</row>
    <row r="4197" spans="1:13" x14ac:dyDescent="0.25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 x14ac:dyDescent="0.25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</row>
    <row r="4199" spans="1:13" x14ac:dyDescent="0.25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</row>
    <row r="4200" spans="1:13" x14ac:dyDescent="0.25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</row>
    <row r="4201" spans="1:13" x14ac:dyDescent="0.25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 x14ac:dyDescent="0.25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</row>
    <row r="4203" spans="1:13" x14ac:dyDescent="0.25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</row>
    <row r="4204" spans="1:13" x14ac:dyDescent="0.25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 x14ac:dyDescent="0.2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 x14ac:dyDescent="0.2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 x14ac:dyDescent="0.2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 x14ac:dyDescent="0.25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</row>
    <row r="4209" spans="1:13" x14ac:dyDescent="0.25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</row>
    <row r="4210" spans="1:13" x14ac:dyDescent="0.25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</row>
    <row r="4211" spans="1:13" x14ac:dyDescent="0.25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</row>
    <row r="4212" spans="1:13" x14ac:dyDescent="0.25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</row>
    <row r="4213" spans="1:13" x14ac:dyDescent="0.25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</row>
    <row r="4214" spans="1:13" x14ac:dyDescent="0.25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 x14ac:dyDescent="0.25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 x14ac:dyDescent="0.25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 x14ac:dyDescent="0.25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</row>
    <row r="4218" spans="1:13" x14ac:dyDescent="0.25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</row>
    <row r="4219" spans="1:13" x14ac:dyDescent="0.25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</row>
    <row r="4220" spans="1:13" x14ac:dyDescent="0.25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</row>
    <row r="4221" spans="1:13" x14ac:dyDescent="0.2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</row>
    <row r="4222" spans="1:13" x14ac:dyDescent="0.25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</row>
    <row r="4223" spans="1:13" x14ac:dyDescent="0.25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 x14ac:dyDescent="0.25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 x14ac:dyDescent="0.25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 x14ac:dyDescent="0.25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 x14ac:dyDescent="0.25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 x14ac:dyDescent="0.25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</row>
    <row r="4229" spans="1:13" x14ac:dyDescent="0.25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</row>
    <row r="4230" spans="1:13" x14ac:dyDescent="0.25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</row>
    <row r="4231" spans="1:13" x14ac:dyDescent="0.2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</row>
    <row r="4232" spans="1:13" x14ac:dyDescent="0.25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 x14ac:dyDescent="0.25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 x14ac:dyDescent="0.25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</row>
    <row r="4235" spans="1:13" x14ac:dyDescent="0.25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</row>
    <row r="4236" spans="1:13" x14ac:dyDescent="0.25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 x14ac:dyDescent="0.25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</row>
    <row r="4238" spans="1:13" x14ac:dyDescent="0.25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 x14ac:dyDescent="0.25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 x14ac:dyDescent="0.25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</row>
    <row r="4241" spans="1:13" x14ac:dyDescent="0.25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 x14ac:dyDescent="0.25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</row>
    <row r="4243" spans="1:13" x14ac:dyDescent="0.25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</row>
    <row r="4244" spans="1:13" x14ac:dyDescent="0.25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</row>
    <row r="4245" spans="1:13" x14ac:dyDescent="0.25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</row>
    <row r="4246" spans="1:13" x14ac:dyDescent="0.25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</row>
    <row r="4247" spans="1:13" x14ac:dyDescent="0.25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</row>
    <row r="4248" spans="1:13" x14ac:dyDescent="0.25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 x14ac:dyDescent="0.25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</row>
    <row r="4250" spans="1:13" x14ac:dyDescent="0.25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 x14ac:dyDescent="0.25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 x14ac:dyDescent="0.25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</row>
    <row r="4253" spans="1:13" x14ac:dyDescent="0.25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 x14ac:dyDescent="0.25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 x14ac:dyDescent="0.25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 x14ac:dyDescent="0.25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 x14ac:dyDescent="0.25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</row>
    <row r="4258" spans="1:13" x14ac:dyDescent="0.25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 x14ac:dyDescent="0.25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 x14ac:dyDescent="0.25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</row>
    <row r="4261" spans="1:13" x14ac:dyDescent="0.25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 x14ac:dyDescent="0.25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 x14ac:dyDescent="0.25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 x14ac:dyDescent="0.25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</row>
    <row r="4265" spans="1:13" x14ac:dyDescent="0.25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 x14ac:dyDescent="0.2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</row>
    <row r="4267" spans="1:13" x14ac:dyDescent="0.25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</row>
    <row r="4268" spans="1:13" x14ac:dyDescent="0.25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</row>
    <row r="4269" spans="1:13" x14ac:dyDescent="0.25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</row>
    <row r="4270" spans="1:13" x14ac:dyDescent="0.25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 x14ac:dyDescent="0.25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</row>
    <row r="4272" spans="1:13" x14ac:dyDescent="0.25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 x14ac:dyDescent="0.25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</row>
    <row r="4274" spans="1:13" x14ac:dyDescent="0.25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 x14ac:dyDescent="0.25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 x14ac:dyDescent="0.25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 x14ac:dyDescent="0.25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</row>
    <row r="4278" spans="1:13" x14ac:dyDescent="0.25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 x14ac:dyDescent="0.25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 x14ac:dyDescent="0.25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 x14ac:dyDescent="0.25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</row>
    <row r="4282" spans="1:13" x14ac:dyDescent="0.25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</row>
    <row r="4283" spans="1:13" x14ac:dyDescent="0.25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 x14ac:dyDescent="0.25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 x14ac:dyDescent="0.25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 x14ac:dyDescent="0.25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 x14ac:dyDescent="0.25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 x14ac:dyDescent="0.25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</row>
    <row r="4289" spans="1:13" x14ac:dyDescent="0.25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 x14ac:dyDescent="0.25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</row>
    <row r="4291" spans="1:13" x14ac:dyDescent="0.25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</row>
    <row r="4292" spans="1:13" x14ac:dyDescent="0.25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 x14ac:dyDescent="0.25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 x14ac:dyDescent="0.25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</row>
    <row r="4295" spans="1:13" x14ac:dyDescent="0.25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 x14ac:dyDescent="0.25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</row>
    <row r="4297" spans="1:13" x14ac:dyDescent="0.25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</row>
    <row r="4298" spans="1:13" x14ac:dyDescent="0.25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 x14ac:dyDescent="0.2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 x14ac:dyDescent="0.25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 x14ac:dyDescent="0.25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</row>
    <row r="4302" spans="1:13" x14ac:dyDescent="0.25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</row>
    <row r="4303" spans="1:13" x14ac:dyDescent="0.25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</row>
    <row r="4304" spans="1:13" x14ac:dyDescent="0.25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 x14ac:dyDescent="0.25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 x14ac:dyDescent="0.25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 x14ac:dyDescent="0.25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 x14ac:dyDescent="0.25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</row>
    <row r="4309" spans="1:13" x14ac:dyDescent="0.25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 x14ac:dyDescent="0.2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</row>
    <row r="4311" spans="1:13" x14ac:dyDescent="0.25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</row>
    <row r="4312" spans="1:13" x14ac:dyDescent="0.2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</row>
    <row r="4313" spans="1:13" x14ac:dyDescent="0.2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 x14ac:dyDescent="0.2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</row>
    <row r="4315" spans="1:13" x14ac:dyDescent="0.25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</row>
    <row r="4316" spans="1:13" x14ac:dyDescent="0.25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</row>
    <row r="4317" spans="1:13" x14ac:dyDescent="0.25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 x14ac:dyDescent="0.25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</row>
    <row r="4319" spans="1:13" x14ac:dyDescent="0.25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</row>
    <row r="4320" spans="1:13" x14ac:dyDescent="0.25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 x14ac:dyDescent="0.25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</row>
    <row r="4322" spans="1:13" x14ac:dyDescent="0.25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</row>
    <row r="4323" spans="1:13" x14ac:dyDescent="0.2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 x14ac:dyDescent="0.25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 x14ac:dyDescent="0.25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</row>
    <row r="4326" spans="1:13" x14ac:dyDescent="0.25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 x14ac:dyDescent="0.25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 x14ac:dyDescent="0.25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 x14ac:dyDescent="0.25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 x14ac:dyDescent="0.25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</row>
    <row r="4331" spans="1:13" x14ac:dyDescent="0.25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 x14ac:dyDescent="0.25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 x14ac:dyDescent="0.25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</row>
    <row r="4334" spans="1:13" x14ac:dyDescent="0.25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 x14ac:dyDescent="0.25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 x14ac:dyDescent="0.25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</row>
    <row r="4337" spans="1:13" x14ac:dyDescent="0.25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</row>
    <row r="4338" spans="1:13" x14ac:dyDescent="0.25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</row>
    <row r="4339" spans="1:13" x14ac:dyDescent="0.25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</row>
    <row r="4340" spans="1:13" x14ac:dyDescent="0.25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 x14ac:dyDescent="0.25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</row>
    <row r="4342" spans="1:13" x14ac:dyDescent="0.25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</row>
    <row r="4343" spans="1:13" x14ac:dyDescent="0.25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</row>
    <row r="4344" spans="1:13" x14ac:dyDescent="0.25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 x14ac:dyDescent="0.25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 x14ac:dyDescent="0.25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 x14ac:dyDescent="0.25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 x14ac:dyDescent="0.25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 x14ac:dyDescent="0.25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</row>
    <row r="4350" spans="1:13" x14ac:dyDescent="0.25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</row>
    <row r="4351" spans="1:13" x14ac:dyDescent="0.25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</row>
    <row r="4352" spans="1:13" x14ac:dyDescent="0.25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 x14ac:dyDescent="0.25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</row>
    <row r="4354" spans="1:13" x14ac:dyDescent="0.25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 x14ac:dyDescent="0.25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 x14ac:dyDescent="0.25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</row>
    <row r="4357" spans="1:13" x14ac:dyDescent="0.25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</row>
    <row r="4358" spans="1:13" x14ac:dyDescent="0.25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</row>
    <row r="4359" spans="1:13" x14ac:dyDescent="0.25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</row>
    <row r="4360" spans="1:13" x14ac:dyDescent="0.25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</row>
    <row r="4361" spans="1:13" x14ac:dyDescent="0.25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</row>
    <row r="4362" spans="1:13" x14ac:dyDescent="0.25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</row>
    <row r="4363" spans="1:13" x14ac:dyDescent="0.25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</row>
    <row r="4364" spans="1:13" x14ac:dyDescent="0.2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</row>
    <row r="4365" spans="1:13" x14ac:dyDescent="0.25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 x14ac:dyDescent="0.25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 x14ac:dyDescent="0.25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</row>
    <row r="4368" spans="1:13" x14ac:dyDescent="0.25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</row>
    <row r="4369" spans="1:13" x14ac:dyDescent="0.25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 x14ac:dyDescent="0.25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</row>
    <row r="4371" spans="1:13" x14ac:dyDescent="0.25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</row>
    <row r="4372" spans="1:13" x14ac:dyDescent="0.25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 x14ac:dyDescent="0.25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</row>
    <row r="4374" spans="1:13" x14ac:dyDescent="0.25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 x14ac:dyDescent="0.25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</row>
    <row r="4376" spans="1:13" x14ac:dyDescent="0.25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</row>
    <row r="4377" spans="1:13" x14ac:dyDescent="0.25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</row>
    <row r="4378" spans="1:13" x14ac:dyDescent="0.25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 x14ac:dyDescent="0.25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 x14ac:dyDescent="0.25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</row>
    <row r="4381" spans="1:13" x14ac:dyDescent="0.25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</row>
    <row r="4382" spans="1:13" x14ac:dyDescent="0.25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</row>
    <row r="4383" spans="1:13" x14ac:dyDescent="0.25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</row>
    <row r="4384" spans="1:13" x14ac:dyDescent="0.25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 x14ac:dyDescent="0.25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</row>
    <row r="4386" spans="1:13" x14ac:dyDescent="0.25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</row>
    <row r="4387" spans="1:13" x14ac:dyDescent="0.25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</row>
    <row r="4388" spans="1:13" x14ac:dyDescent="0.25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</row>
    <row r="4389" spans="1:13" x14ac:dyDescent="0.25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</row>
    <row r="4390" spans="1:13" x14ac:dyDescent="0.25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 x14ac:dyDescent="0.25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</row>
    <row r="4392" spans="1:13" x14ac:dyDescent="0.25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 x14ac:dyDescent="0.25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</row>
    <row r="4394" spans="1:13" x14ac:dyDescent="0.25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 x14ac:dyDescent="0.25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 x14ac:dyDescent="0.25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</row>
    <row r="4397" spans="1:13" x14ac:dyDescent="0.25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</row>
    <row r="4398" spans="1:13" x14ac:dyDescent="0.25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</row>
    <row r="4399" spans="1:13" x14ac:dyDescent="0.25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 x14ac:dyDescent="0.25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</row>
    <row r="4401" spans="1:13" x14ac:dyDescent="0.25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</row>
    <row r="4402" spans="1:13" x14ac:dyDescent="0.25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 x14ac:dyDescent="0.25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 x14ac:dyDescent="0.25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</row>
    <row r="4405" spans="1:13" x14ac:dyDescent="0.25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</row>
    <row r="4406" spans="1:13" x14ac:dyDescent="0.25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</row>
    <row r="4407" spans="1:13" x14ac:dyDescent="0.25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 x14ac:dyDescent="0.25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</row>
    <row r="4409" spans="1:13" x14ac:dyDescent="0.25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 x14ac:dyDescent="0.25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 x14ac:dyDescent="0.25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</row>
    <row r="4412" spans="1:13" x14ac:dyDescent="0.25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 x14ac:dyDescent="0.25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 x14ac:dyDescent="0.25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</row>
    <row r="4415" spans="1:13" x14ac:dyDescent="0.25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</row>
    <row r="4416" spans="1:13" x14ac:dyDescent="0.25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 x14ac:dyDescent="0.25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</row>
    <row r="4418" spans="1:13" x14ac:dyDescent="0.25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 x14ac:dyDescent="0.25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</row>
    <row r="4420" spans="1:13" x14ac:dyDescent="0.25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 x14ac:dyDescent="0.25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</row>
    <row r="4422" spans="1:13" x14ac:dyDescent="0.25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</row>
    <row r="4423" spans="1:13" x14ac:dyDescent="0.25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</row>
    <row r="4424" spans="1:13" x14ac:dyDescent="0.2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 x14ac:dyDescent="0.25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 x14ac:dyDescent="0.25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</row>
    <row r="4427" spans="1:13" x14ac:dyDescent="0.25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</row>
    <row r="4428" spans="1:13" x14ac:dyDescent="0.25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</row>
    <row r="4429" spans="1:13" x14ac:dyDescent="0.25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</row>
    <row r="4430" spans="1:13" x14ac:dyDescent="0.25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</row>
    <row r="4431" spans="1:13" x14ac:dyDescent="0.25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</row>
    <row r="4432" spans="1:13" x14ac:dyDescent="0.2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</row>
    <row r="4433" spans="1:13" x14ac:dyDescent="0.25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 x14ac:dyDescent="0.25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</row>
    <row r="4435" spans="1:13" x14ac:dyDescent="0.25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 x14ac:dyDescent="0.25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 x14ac:dyDescent="0.25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</row>
    <row r="4438" spans="1:13" x14ac:dyDescent="0.25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</row>
    <row r="4439" spans="1:13" x14ac:dyDescent="0.25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</row>
    <row r="4440" spans="1:13" x14ac:dyDescent="0.25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</row>
    <row r="4441" spans="1:13" x14ac:dyDescent="0.25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 x14ac:dyDescent="0.25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</row>
    <row r="4443" spans="1:13" x14ac:dyDescent="0.25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 x14ac:dyDescent="0.25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</row>
    <row r="4445" spans="1:13" x14ac:dyDescent="0.25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</row>
    <row r="4446" spans="1:13" x14ac:dyDescent="0.25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</row>
    <row r="4447" spans="1:13" x14ac:dyDescent="0.25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</row>
    <row r="4448" spans="1:13" x14ac:dyDescent="0.25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</row>
    <row r="4449" spans="1:13" x14ac:dyDescent="0.25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</row>
    <row r="4450" spans="1:13" x14ac:dyDescent="0.25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</row>
    <row r="4451" spans="1:13" x14ac:dyDescent="0.25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</row>
    <row r="4452" spans="1:13" x14ac:dyDescent="0.25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</row>
    <row r="4453" spans="1:13" x14ac:dyDescent="0.25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 x14ac:dyDescent="0.25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</row>
    <row r="4455" spans="1:13" x14ac:dyDescent="0.25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 x14ac:dyDescent="0.25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</row>
    <row r="4457" spans="1:13" x14ac:dyDescent="0.25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 x14ac:dyDescent="0.25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</row>
    <row r="4459" spans="1:13" x14ac:dyDescent="0.25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</row>
    <row r="4460" spans="1:13" x14ac:dyDescent="0.25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 x14ac:dyDescent="0.2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</row>
    <row r="4462" spans="1:13" x14ac:dyDescent="0.2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 x14ac:dyDescent="0.25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</row>
    <row r="4464" spans="1:13" x14ac:dyDescent="0.25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</row>
    <row r="4465" spans="1:13" x14ac:dyDescent="0.25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</row>
    <row r="4466" spans="1:13" x14ac:dyDescent="0.25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 x14ac:dyDescent="0.25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</row>
    <row r="4468" spans="1:13" x14ac:dyDescent="0.25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</row>
    <row r="4469" spans="1:13" x14ac:dyDescent="0.25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 x14ac:dyDescent="0.25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</row>
    <row r="4471" spans="1:13" x14ac:dyDescent="0.25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 x14ac:dyDescent="0.25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 x14ac:dyDescent="0.2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 x14ac:dyDescent="0.2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</row>
    <row r="4475" spans="1:13" x14ac:dyDescent="0.25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</row>
    <row r="4476" spans="1:13" x14ac:dyDescent="0.25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</row>
    <row r="4477" spans="1:13" x14ac:dyDescent="0.25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</row>
    <row r="4478" spans="1:13" x14ac:dyDescent="0.25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</row>
    <row r="4479" spans="1:13" x14ac:dyDescent="0.25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 x14ac:dyDescent="0.25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 x14ac:dyDescent="0.25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</row>
    <row r="4482" spans="1:13" x14ac:dyDescent="0.2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 x14ac:dyDescent="0.2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 x14ac:dyDescent="0.2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</row>
    <row r="4485" spans="1:13" x14ac:dyDescent="0.25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</row>
    <row r="4486" spans="1:13" x14ac:dyDescent="0.25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</row>
    <row r="4487" spans="1:13" x14ac:dyDescent="0.25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</row>
    <row r="4488" spans="1:13" x14ac:dyDescent="0.2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 x14ac:dyDescent="0.25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</row>
    <row r="4490" spans="1:13" x14ac:dyDescent="0.25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 x14ac:dyDescent="0.25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 x14ac:dyDescent="0.25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</row>
    <row r="4493" spans="1:13" x14ac:dyDescent="0.25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 x14ac:dyDescent="0.25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 x14ac:dyDescent="0.25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 x14ac:dyDescent="0.25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</row>
    <row r="4497" spans="1:13" x14ac:dyDescent="0.25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 x14ac:dyDescent="0.25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</row>
    <row r="4499" spans="1:13" x14ac:dyDescent="0.25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</row>
    <row r="4500" spans="1:13" x14ac:dyDescent="0.25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 x14ac:dyDescent="0.25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 x14ac:dyDescent="0.25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 x14ac:dyDescent="0.25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</row>
    <row r="4504" spans="1:13" x14ac:dyDescent="0.25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 x14ac:dyDescent="0.2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 x14ac:dyDescent="0.2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</row>
    <row r="4507" spans="1:13" x14ac:dyDescent="0.25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 x14ac:dyDescent="0.25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 x14ac:dyDescent="0.25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</row>
    <row r="4510" spans="1:13" x14ac:dyDescent="0.25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 x14ac:dyDescent="0.25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 x14ac:dyDescent="0.25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</row>
    <row r="4513" spans="1:13" x14ac:dyDescent="0.25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 x14ac:dyDescent="0.25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</row>
    <row r="4515" spans="1:13" x14ac:dyDescent="0.25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 x14ac:dyDescent="0.25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 x14ac:dyDescent="0.25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 x14ac:dyDescent="0.25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 x14ac:dyDescent="0.25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</row>
    <row r="4520" spans="1:13" x14ac:dyDescent="0.25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 x14ac:dyDescent="0.25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 x14ac:dyDescent="0.25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 x14ac:dyDescent="0.25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</row>
    <row r="4524" spans="1:13" x14ac:dyDescent="0.25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</row>
    <row r="4525" spans="1:13" x14ac:dyDescent="0.25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 x14ac:dyDescent="0.25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 x14ac:dyDescent="0.25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</row>
    <row r="4528" spans="1:13" x14ac:dyDescent="0.25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 x14ac:dyDescent="0.25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 x14ac:dyDescent="0.25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 x14ac:dyDescent="0.25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</row>
    <row r="4532" spans="1:13" x14ac:dyDescent="0.25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</row>
    <row r="4533" spans="1:13" x14ac:dyDescent="0.25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</row>
    <row r="4534" spans="1:13" x14ac:dyDescent="0.25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</row>
    <row r="4535" spans="1:13" x14ac:dyDescent="0.25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</row>
    <row r="4536" spans="1:13" x14ac:dyDescent="0.25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</row>
    <row r="4537" spans="1:13" x14ac:dyDescent="0.25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</row>
    <row r="4538" spans="1:13" x14ac:dyDescent="0.25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 x14ac:dyDescent="0.25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 x14ac:dyDescent="0.25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 x14ac:dyDescent="0.25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 x14ac:dyDescent="0.25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 x14ac:dyDescent="0.25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 x14ac:dyDescent="0.25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 x14ac:dyDescent="0.2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 x14ac:dyDescent="0.2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</row>
    <row r="4547" spans="1:13" x14ac:dyDescent="0.2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 x14ac:dyDescent="0.25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 x14ac:dyDescent="0.25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 x14ac:dyDescent="0.25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</row>
    <row r="4551" spans="1:13" x14ac:dyDescent="0.25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 x14ac:dyDescent="0.25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 x14ac:dyDescent="0.25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</row>
    <row r="4554" spans="1:13" x14ac:dyDescent="0.25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 x14ac:dyDescent="0.25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 x14ac:dyDescent="0.25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</row>
    <row r="4557" spans="1:13" x14ac:dyDescent="0.25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 x14ac:dyDescent="0.25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</row>
    <row r="4559" spans="1:13" x14ac:dyDescent="0.25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</row>
    <row r="4560" spans="1:13" x14ac:dyDescent="0.25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</row>
    <row r="4561" spans="1:13" x14ac:dyDescent="0.25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 x14ac:dyDescent="0.25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 x14ac:dyDescent="0.25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 x14ac:dyDescent="0.25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</row>
    <row r="4565" spans="1:13" x14ac:dyDescent="0.25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 x14ac:dyDescent="0.25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</row>
    <row r="4567" spans="1:13" x14ac:dyDescent="0.25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</row>
    <row r="4568" spans="1:13" x14ac:dyDescent="0.25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</row>
    <row r="4569" spans="1:13" x14ac:dyDescent="0.25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</row>
    <row r="4570" spans="1:13" x14ac:dyDescent="0.25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</row>
    <row r="4571" spans="1:13" x14ac:dyDescent="0.25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 x14ac:dyDescent="0.25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</row>
    <row r="4573" spans="1:13" x14ac:dyDescent="0.25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</row>
    <row r="4574" spans="1:13" x14ac:dyDescent="0.25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</row>
    <row r="4575" spans="1:13" x14ac:dyDescent="0.25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</row>
    <row r="4576" spans="1:13" x14ac:dyDescent="0.25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</row>
    <row r="4577" spans="1:13" x14ac:dyDescent="0.25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 x14ac:dyDescent="0.25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 x14ac:dyDescent="0.25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 x14ac:dyDescent="0.25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</row>
    <row r="4581" spans="1:13" x14ac:dyDescent="0.25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 x14ac:dyDescent="0.25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 x14ac:dyDescent="0.25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</row>
    <row r="4584" spans="1:13" x14ac:dyDescent="0.25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</row>
    <row r="4585" spans="1:13" x14ac:dyDescent="0.25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 x14ac:dyDescent="0.2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</row>
    <row r="4587" spans="1:13" x14ac:dyDescent="0.25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 x14ac:dyDescent="0.25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 x14ac:dyDescent="0.25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 x14ac:dyDescent="0.25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</row>
    <row r="4591" spans="1:13" x14ac:dyDescent="0.25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 x14ac:dyDescent="0.2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</row>
    <row r="4593" spans="1:13" x14ac:dyDescent="0.25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 x14ac:dyDescent="0.25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 x14ac:dyDescent="0.25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</row>
    <row r="4596" spans="1:13" x14ac:dyDescent="0.25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 x14ac:dyDescent="0.25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</row>
    <row r="4598" spans="1:13" x14ac:dyDescent="0.25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</row>
    <row r="4599" spans="1:13" x14ac:dyDescent="0.25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 x14ac:dyDescent="0.25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</row>
    <row r="4601" spans="1:13" x14ac:dyDescent="0.25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</row>
    <row r="4602" spans="1:13" x14ac:dyDescent="0.25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 x14ac:dyDescent="0.25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 x14ac:dyDescent="0.25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</row>
    <row r="4605" spans="1:13" x14ac:dyDescent="0.25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 x14ac:dyDescent="0.25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 x14ac:dyDescent="0.25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</row>
    <row r="4608" spans="1:13" x14ac:dyDescent="0.25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</row>
    <row r="4609" spans="1:13" x14ac:dyDescent="0.25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</row>
    <row r="4610" spans="1:13" x14ac:dyDescent="0.25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 x14ac:dyDescent="0.25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</row>
    <row r="4612" spans="1:13" x14ac:dyDescent="0.25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 x14ac:dyDescent="0.25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</row>
    <row r="4614" spans="1:13" x14ac:dyDescent="0.25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</row>
    <row r="4615" spans="1:13" x14ac:dyDescent="0.25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</row>
    <row r="4616" spans="1:13" x14ac:dyDescent="0.25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</row>
    <row r="4617" spans="1:13" x14ac:dyDescent="0.25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 x14ac:dyDescent="0.25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</row>
    <row r="4619" spans="1:13" x14ac:dyDescent="0.25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 x14ac:dyDescent="0.25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</row>
    <row r="4621" spans="1:13" x14ac:dyDescent="0.25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</row>
    <row r="4622" spans="1:13" x14ac:dyDescent="0.25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 x14ac:dyDescent="0.25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 x14ac:dyDescent="0.25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</row>
    <row r="4625" spans="1:13" x14ac:dyDescent="0.25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</row>
    <row r="4626" spans="1:13" x14ac:dyDescent="0.25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 x14ac:dyDescent="0.25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</row>
    <row r="4628" spans="1:13" x14ac:dyDescent="0.25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 x14ac:dyDescent="0.25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 x14ac:dyDescent="0.25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</row>
    <row r="4631" spans="1:13" x14ac:dyDescent="0.25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</row>
    <row r="4632" spans="1:13" x14ac:dyDescent="0.25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</row>
    <row r="4633" spans="1:13" x14ac:dyDescent="0.25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</row>
    <row r="4634" spans="1:13" x14ac:dyDescent="0.25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</row>
    <row r="4635" spans="1:13" x14ac:dyDescent="0.25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</row>
    <row r="4636" spans="1:13" x14ac:dyDescent="0.25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 x14ac:dyDescent="0.25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</row>
    <row r="4638" spans="1:13" x14ac:dyDescent="0.25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 x14ac:dyDescent="0.25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 x14ac:dyDescent="0.25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</row>
    <row r="4641" spans="1:13" x14ac:dyDescent="0.25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 x14ac:dyDescent="0.25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 x14ac:dyDescent="0.25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</row>
    <row r="4644" spans="1:13" x14ac:dyDescent="0.25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 x14ac:dyDescent="0.25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</row>
    <row r="4646" spans="1:13" x14ac:dyDescent="0.25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 x14ac:dyDescent="0.25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 x14ac:dyDescent="0.25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 x14ac:dyDescent="0.25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</row>
    <row r="4650" spans="1:13" x14ac:dyDescent="0.25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 x14ac:dyDescent="0.25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</row>
    <row r="4652" spans="1:13" x14ac:dyDescent="0.25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 x14ac:dyDescent="0.25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</row>
    <row r="4654" spans="1:13" x14ac:dyDescent="0.25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</row>
    <row r="4655" spans="1:13" x14ac:dyDescent="0.25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</row>
    <row r="4656" spans="1:13" x14ac:dyDescent="0.25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</row>
    <row r="4657" spans="1:13" x14ac:dyDescent="0.25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</row>
    <row r="4658" spans="1:13" x14ac:dyDescent="0.2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 x14ac:dyDescent="0.2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 x14ac:dyDescent="0.25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 x14ac:dyDescent="0.25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 x14ac:dyDescent="0.25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 x14ac:dyDescent="0.25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</row>
    <row r="4664" spans="1:13" x14ac:dyDescent="0.25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</row>
    <row r="4665" spans="1:13" x14ac:dyDescent="0.25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 x14ac:dyDescent="0.25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</row>
    <row r="4667" spans="1:13" x14ac:dyDescent="0.25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</row>
    <row r="4668" spans="1:13" x14ac:dyDescent="0.25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</row>
    <row r="4669" spans="1:13" x14ac:dyDescent="0.25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</row>
    <row r="4670" spans="1:13" x14ac:dyDescent="0.25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 x14ac:dyDescent="0.25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</row>
    <row r="4672" spans="1:13" x14ac:dyDescent="0.25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 x14ac:dyDescent="0.25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 x14ac:dyDescent="0.25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</row>
    <row r="4675" spans="1:13" x14ac:dyDescent="0.25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</row>
    <row r="4676" spans="1:13" x14ac:dyDescent="0.25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</row>
    <row r="4677" spans="1:13" x14ac:dyDescent="0.25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 x14ac:dyDescent="0.25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 x14ac:dyDescent="0.25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</row>
    <row r="4680" spans="1:13" x14ac:dyDescent="0.25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 x14ac:dyDescent="0.25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 x14ac:dyDescent="0.25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 x14ac:dyDescent="0.25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</row>
    <row r="4684" spans="1:13" x14ac:dyDescent="0.25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</row>
    <row r="4685" spans="1:13" x14ac:dyDescent="0.25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 x14ac:dyDescent="0.25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 x14ac:dyDescent="0.25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</row>
    <row r="4688" spans="1:13" x14ac:dyDescent="0.25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 x14ac:dyDescent="0.25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</row>
    <row r="4690" spans="1:13" x14ac:dyDescent="0.25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</row>
    <row r="4691" spans="1:13" x14ac:dyDescent="0.25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 x14ac:dyDescent="0.25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</row>
    <row r="4693" spans="1:13" x14ac:dyDescent="0.25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 x14ac:dyDescent="0.25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</row>
    <row r="4695" spans="1:13" x14ac:dyDescent="0.25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 x14ac:dyDescent="0.25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 x14ac:dyDescent="0.25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</row>
    <row r="4698" spans="1:13" x14ac:dyDescent="0.25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</row>
    <row r="4699" spans="1:13" x14ac:dyDescent="0.25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 x14ac:dyDescent="0.25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</row>
    <row r="4701" spans="1:13" x14ac:dyDescent="0.25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 x14ac:dyDescent="0.25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 x14ac:dyDescent="0.25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</row>
    <row r="4704" spans="1:13" x14ac:dyDescent="0.25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</row>
    <row r="4705" spans="1:13" x14ac:dyDescent="0.25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</row>
    <row r="4706" spans="1:13" x14ac:dyDescent="0.25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</row>
    <row r="4707" spans="1:13" x14ac:dyDescent="0.25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 x14ac:dyDescent="0.25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 x14ac:dyDescent="0.25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 x14ac:dyDescent="0.25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 x14ac:dyDescent="0.25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 x14ac:dyDescent="0.25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 x14ac:dyDescent="0.25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</row>
    <row r="4714" spans="1:13" x14ac:dyDescent="0.25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 x14ac:dyDescent="0.25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 x14ac:dyDescent="0.25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</row>
    <row r="4717" spans="1:13" x14ac:dyDescent="0.25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</row>
    <row r="4718" spans="1:13" x14ac:dyDescent="0.25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</row>
    <row r="4719" spans="1:13" x14ac:dyDescent="0.25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</row>
    <row r="4720" spans="1:13" x14ac:dyDescent="0.25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 x14ac:dyDescent="0.25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 x14ac:dyDescent="0.25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</row>
    <row r="4723" spans="1:13" x14ac:dyDescent="0.25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</row>
    <row r="4724" spans="1:13" x14ac:dyDescent="0.25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</row>
    <row r="4725" spans="1:13" x14ac:dyDescent="0.25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 x14ac:dyDescent="0.25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 x14ac:dyDescent="0.25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</row>
    <row r="4728" spans="1:13" x14ac:dyDescent="0.25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 x14ac:dyDescent="0.25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</row>
    <row r="4730" spans="1:13" x14ac:dyDescent="0.25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 x14ac:dyDescent="0.25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 x14ac:dyDescent="0.25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</row>
    <row r="4733" spans="1:13" x14ac:dyDescent="0.25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</row>
    <row r="4734" spans="1:13" x14ac:dyDescent="0.25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 x14ac:dyDescent="0.25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 x14ac:dyDescent="0.25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 x14ac:dyDescent="0.25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 x14ac:dyDescent="0.25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 x14ac:dyDescent="0.25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</row>
    <row r="4740" spans="1:13" x14ac:dyDescent="0.25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</row>
    <row r="4741" spans="1:13" x14ac:dyDescent="0.25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</row>
    <row r="4742" spans="1:13" x14ac:dyDescent="0.25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</row>
    <row r="4743" spans="1:13" x14ac:dyDescent="0.25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 x14ac:dyDescent="0.25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</row>
    <row r="4745" spans="1:13" x14ac:dyDescent="0.25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</row>
    <row r="4746" spans="1:13" x14ac:dyDescent="0.25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</row>
    <row r="4747" spans="1:13" x14ac:dyDescent="0.25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 x14ac:dyDescent="0.25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</row>
    <row r="4749" spans="1:13" x14ac:dyDescent="0.25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</row>
    <row r="4750" spans="1:13" x14ac:dyDescent="0.25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 x14ac:dyDescent="0.25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 x14ac:dyDescent="0.25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</row>
    <row r="4753" spans="1:13" x14ac:dyDescent="0.25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</row>
    <row r="4754" spans="1:13" x14ac:dyDescent="0.25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</row>
    <row r="4755" spans="1:13" x14ac:dyDescent="0.25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</row>
    <row r="4756" spans="1:13" x14ac:dyDescent="0.25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 x14ac:dyDescent="0.25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 x14ac:dyDescent="0.25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 x14ac:dyDescent="0.25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 x14ac:dyDescent="0.25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</row>
    <row r="4761" spans="1:13" x14ac:dyDescent="0.25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</row>
    <row r="4762" spans="1:13" x14ac:dyDescent="0.25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</row>
    <row r="4763" spans="1:13" x14ac:dyDescent="0.25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</row>
    <row r="4764" spans="1:13" x14ac:dyDescent="0.25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 x14ac:dyDescent="0.25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 x14ac:dyDescent="0.25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</row>
    <row r="4767" spans="1:13" x14ac:dyDescent="0.25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</row>
    <row r="4768" spans="1:13" x14ac:dyDescent="0.25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 x14ac:dyDescent="0.25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</row>
    <row r="4770" spans="1:13" x14ac:dyDescent="0.25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 x14ac:dyDescent="0.25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 x14ac:dyDescent="0.25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</row>
    <row r="4773" spans="1:13" x14ac:dyDescent="0.25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 x14ac:dyDescent="0.25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</row>
    <row r="4775" spans="1:13" x14ac:dyDescent="0.25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</row>
    <row r="4776" spans="1:13" x14ac:dyDescent="0.25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</row>
    <row r="4777" spans="1:13" x14ac:dyDescent="0.25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</row>
    <row r="4778" spans="1:13" x14ac:dyDescent="0.25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 x14ac:dyDescent="0.25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</row>
    <row r="4780" spans="1:13" x14ac:dyDescent="0.25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 x14ac:dyDescent="0.25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</row>
    <row r="4782" spans="1:13" x14ac:dyDescent="0.25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 x14ac:dyDescent="0.25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 x14ac:dyDescent="0.25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</row>
    <row r="4785" spans="1:13" x14ac:dyDescent="0.25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 x14ac:dyDescent="0.2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 x14ac:dyDescent="0.2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 x14ac:dyDescent="0.2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 x14ac:dyDescent="0.2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</row>
    <row r="4790" spans="1:13" x14ac:dyDescent="0.25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</row>
    <row r="4791" spans="1:13" x14ac:dyDescent="0.25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</row>
    <row r="4792" spans="1:13" x14ac:dyDescent="0.25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</row>
    <row r="4793" spans="1:13" x14ac:dyDescent="0.25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</row>
    <row r="4794" spans="1:13" x14ac:dyDescent="0.25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</row>
    <row r="4795" spans="1:13" x14ac:dyDescent="0.25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</row>
    <row r="4796" spans="1:13" x14ac:dyDescent="0.25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</row>
    <row r="4797" spans="1:13" x14ac:dyDescent="0.25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 x14ac:dyDescent="0.2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</row>
    <row r="4799" spans="1:13" x14ac:dyDescent="0.2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 x14ac:dyDescent="0.25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 x14ac:dyDescent="0.25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 x14ac:dyDescent="0.25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</row>
    <row r="4803" spans="1:13" x14ac:dyDescent="0.25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</row>
    <row r="4804" spans="1:13" x14ac:dyDescent="0.25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</row>
    <row r="4805" spans="1:13" x14ac:dyDescent="0.25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</row>
    <row r="4806" spans="1:13" x14ac:dyDescent="0.25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</row>
    <row r="4807" spans="1:13" x14ac:dyDescent="0.25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</row>
    <row r="4808" spans="1:13" x14ac:dyDescent="0.25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 x14ac:dyDescent="0.25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 x14ac:dyDescent="0.25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 x14ac:dyDescent="0.25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 x14ac:dyDescent="0.25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 x14ac:dyDescent="0.25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 x14ac:dyDescent="0.25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 x14ac:dyDescent="0.25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</row>
    <row r="4816" spans="1:13" x14ac:dyDescent="0.25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</row>
    <row r="4817" spans="1:13" x14ac:dyDescent="0.25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 x14ac:dyDescent="0.25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 x14ac:dyDescent="0.25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 x14ac:dyDescent="0.25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</row>
    <row r="4821" spans="1:13" x14ac:dyDescent="0.25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</row>
    <row r="4822" spans="1:13" x14ac:dyDescent="0.25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 x14ac:dyDescent="0.25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</row>
    <row r="4824" spans="1:13" x14ac:dyDescent="0.25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</row>
    <row r="4825" spans="1:13" x14ac:dyDescent="0.25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</row>
    <row r="4826" spans="1:13" x14ac:dyDescent="0.25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</row>
    <row r="4827" spans="1:13" x14ac:dyDescent="0.25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</row>
    <row r="4828" spans="1:13" x14ac:dyDescent="0.25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 x14ac:dyDescent="0.25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 x14ac:dyDescent="0.25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</row>
    <row r="4831" spans="1:13" x14ac:dyDescent="0.25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</row>
    <row r="4832" spans="1:13" x14ac:dyDescent="0.25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</row>
    <row r="4833" spans="1:13" x14ac:dyDescent="0.25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</row>
    <row r="4834" spans="1:13" x14ac:dyDescent="0.25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</row>
    <row r="4835" spans="1:13" x14ac:dyDescent="0.25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 x14ac:dyDescent="0.25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</row>
    <row r="4837" spans="1:13" x14ac:dyDescent="0.25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</row>
    <row r="4838" spans="1:13" x14ac:dyDescent="0.25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 x14ac:dyDescent="0.25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</row>
    <row r="4840" spans="1:13" x14ac:dyDescent="0.25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</row>
    <row r="4841" spans="1:13" x14ac:dyDescent="0.25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 x14ac:dyDescent="0.25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</row>
    <row r="4843" spans="1:13" x14ac:dyDescent="0.25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 x14ac:dyDescent="0.25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 x14ac:dyDescent="0.25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 x14ac:dyDescent="0.25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</row>
    <row r="4847" spans="1:13" x14ac:dyDescent="0.25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 x14ac:dyDescent="0.25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 x14ac:dyDescent="0.25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</row>
    <row r="4850" spans="1:13" x14ac:dyDescent="0.25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</row>
    <row r="4851" spans="1:13" x14ac:dyDescent="0.25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</row>
    <row r="4852" spans="1:13" x14ac:dyDescent="0.25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</row>
    <row r="4853" spans="1:13" x14ac:dyDescent="0.25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 x14ac:dyDescent="0.25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 x14ac:dyDescent="0.25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 x14ac:dyDescent="0.25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</row>
    <row r="4857" spans="1:13" x14ac:dyDescent="0.25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</row>
    <row r="4858" spans="1:13" x14ac:dyDescent="0.25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 x14ac:dyDescent="0.25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</row>
    <row r="4860" spans="1:13" x14ac:dyDescent="0.25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 x14ac:dyDescent="0.25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</row>
    <row r="4862" spans="1:13" x14ac:dyDescent="0.25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 x14ac:dyDescent="0.25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 x14ac:dyDescent="0.25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</row>
    <row r="4865" spans="1:13" x14ac:dyDescent="0.25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 x14ac:dyDescent="0.25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</row>
    <row r="4867" spans="1:13" x14ac:dyDescent="0.25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 x14ac:dyDescent="0.25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 x14ac:dyDescent="0.25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</row>
    <row r="4870" spans="1:13" x14ac:dyDescent="0.25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</row>
    <row r="4871" spans="1:13" x14ac:dyDescent="0.25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 x14ac:dyDescent="0.25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 x14ac:dyDescent="0.25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 x14ac:dyDescent="0.25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 x14ac:dyDescent="0.25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 x14ac:dyDescent="0.25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</row>
    <row r="4877" spans="1:13" x14ac:dyDescent="0.25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</row>
    <row r="4878" spans="1:13" x14ac:dyDescent="0.25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</row>
    <row r="4879" spans="1:13" x14ac:dyDescent="0.25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 x14ac:dyDescent="0.25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 x14ac:dyDescent="0.25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</row>
    <row r="4882" spans="1:13" x14ac:dyDescent="0.25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</row>
    <row r="4883" spans="1:13" x14ac:dyDescent="0.25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</row>
    <row r="4884" spans="1:13" x14ac:dyDescent="0.25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</row>
    <row r="4885" spans="1:13" x14ac:dyDescent="0.25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</row>
    <row r="4886" spans="1:13" x14ac:dyDescent="0.25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</row>
    <row r="4887" spans="1:13" x14ac:dyDescent="0.25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</row>
    <row r="4888" spans="1:13" x14ac:dyDescent="0.25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</row>
    <row r="4889" spans="1:13" x14ac:dyDescent="0.25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</row>
    <row r="4890" spans="1:13" x14ac:dyDescent="0.25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</row>
    <row r="4891" spans="1:13" x14ac:dyDescent="0.25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</row>
    <row r="4892" spans="1:13" x14ac:dyDescent="0.2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</row>
    <row r="4893" spans="1:13" x14ac:dyDescent="0.2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</row>
    <row r="4894" spans="1:13" x14ac:dyDescent="0.25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 x14ac:dyDescent="0.25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</row>
    <row r="4896" spans="1:13" x14ac:dyDescent="0.25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</row>
    <row r="4897" spans="1:13" x14ac:dyDescent="0.25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</row>
    <row r="4898" spans="1:13" x14ac:dyDescent="0.25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</row>
    <row r="4899" spans="1:13" x14ac:dyDescent="0.25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</row>
    <row r="4900" spans="1:13" x14ac:dyDescent="0.25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 x14ac:dyDescent="0.25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 x14ac:dyDescent="0.25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 x14ac:dyDescent="0.25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 x14ac:dyDescent="0.25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</row>
    <row r="4905" spans="1:13" x14ac:dyDescent="0.25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 x14ac:dyDescent="0.25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 x14ac:dyDescent="0.25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 x14ac:dyDescent="0.25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 x14ac:dyDescent="0.25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 x14ac:dyDescent="0.25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</row>
    <row r="4911" spans="1:13" x14ac:dyDescent="0.25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 x14ac:dyDescent="0.25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</row>
    <row r="4913" spans="1:13" x14ac:dyDescent="0.25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 x14ac:dyDescent="0.25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</row>
    <row r="4915" spans="1:13" x14ac:dyDescent="0.25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</row>
    <row r="4916" spans="1:13" x14ac:dyDescent="0.25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</row>
    <row r="4917" spans="1:13" x14ac:dyDescent="0.25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</row>
    <row r="4918" spans="1:13" x14ac:dyDescent="0.25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</row>
    <row r="4919" spans="1:13" x14ac:dyDescent="0.25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</row>
    <row r="4920" spans="1:13" x14ac:dyDescent="0.25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</row>
    <row r="4921" spans="1:13" x14ac:dyDescent="0.25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</row>
    <row r="4922" spans="1:13" x14ac:dyDescent="0.25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</row>
    <row r="4923" spans="1:13" x14ac:dyDescent="0.25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 x14ac:dyDescent="0.25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 x14ac:dyDescent="0.25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 x14ac:dyDescent="0.25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</row>
    <row r="4927" spans="1:13" x14ac:dyDescent="0.25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</row>
    <row r="4928" spans="1:13" x14ac:dyDescent="0.25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</row>
    <row r="4929" spans="1:13" x14ac:dyDescent="0.25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</row>
    <row r="4930" spans="1:13" x14ac:dyDescent="0.25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</row>
    <row r="4931" spans="1:13" x14ac:dyDescent="0.25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 x14ac:dyDescent="0.25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 x14ac:dyDescent="0.25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 x14ac:dyDescent="0.25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</row>
    <row r="4935" spans="1:13" x14ac:dyDescent="0.25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 x14ac:dyDescent="0.25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 x14ac:dyDescent="0.25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 x14ac:dyDescent="0.25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</row>
    <row r="4939" spans="1:13" x14ac:dyDescent="0.25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</row>
    <row r="4940" spans="1:13" x14ac:dyDescent="0.25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</row>
    <row r="4941" spans="1:13" x14ac:dyDescent="0.25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</row>
    <row r="4942" spans="1:13" x14ac:dyDescent="0.25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</row>
    <row r="4943" spans="1:13" x14ac:dyDescent="0.25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 x14ac:dyDescent="0.25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 x14ac:dyDescent="0.25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</row>
    <row r="4946" spans="1:13" x14ac:dyDescent="0.25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</row>
    <row r="4947" spans="1:13" x14ac:dyDescent="0.25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</row>
    <row r="4948" spans="1:13" x14ac:dyDescent="0.25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</row>
    <row r="4949" spans="1:13" x14ac:dyDescent="0.25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</row>
    <row r="4950" spans="1:13" x14ac:dyDescent="0.25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</row>
    <row r="4951" spans="1:13" x14ac:dyDescent="0.25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 x14ac:dyDescent="0.25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</row>
    <row r="4953" spans="1:13" x14ac:dyDescent="0.25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</row>
    <row r="4954" spans="1:13" x14ac:dyDescent="0.25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</row>
    <row r="4955" spans="1:13" x14ac:dyDescent="0.25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 x14ac:dyDescent="0.25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</row>
    <row r="4957" spans="1:13" x14ac:dyDescent="0.25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</row>
    <row r="4958" spans="1:13" x14ac:dyDescent="0.25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 x14ac:dyDescent="0.25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 x14ac:dyDescent="0.25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</row>
    <row r="4961" spans="1:13" x14ac:dyDescent="0.25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 x14ac:dyDescent="0.25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 x14ac:dyDescent="0.25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</row>
    <row r="4964" spans="1:13" x14ac:dyDescent="0.25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</row>
    <row r="4965" spans="1:13" x14ac:dyDescent="0.25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</row>
    <row r="4966" spans="1:13" x14ac:dyDescent="0.25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 x14ac:dyDescent="0.25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 x14ac:dyDescent="0.25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 x14ac:dyDescent="0.25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 x14ac:dyDescent="0.25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</row>
    <row r="4971" spans="1:13" x14ac:dyDescent="0.25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</row>
    <row r="4972" spans="1:13" x14ac:dyDescent="0.25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</row>
    <row r="4973" spans="1:13" x14ac:dyDescent="0.25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</row>
    <row r="4974" spans="1:13" x14ac:dyDescent="0.25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 x14ac:dyDescent="0.25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 x14ac:dyDescent="0.25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</row>
    <row r="4977" spans="1:13" x14ac:dyDescent="0.25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 x14ac:dyDescent="0.25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</row>
    <row r="4979" spans="1:13" x14ac:dyDescent="0.25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 x14ac:dyDescent="0.25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 x14ac:dyDescent="0.25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</row>
    <row r="4982" spans="1:13" x14ac:dyDescent="0.25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 x14ac:dyDescent="0.25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 x14ac:dyDescent="0.25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 x14ac:dyDescent="0.25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 x14ac:dyDescent="0.25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 x14ac:dyDescent="0.25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 x14ac:dyDescent="0.25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 x14ac:dyDescent="0.25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</row>
    <row r="4990" spans="1:13" x14ac:dyDescent="0.25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 x14ac:dyDescent="0.25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 x14ac:dyDescent="0.25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</row>
    <row r="4993" spans="1:13" x14ac:dyDescent="0.25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 x14ac:dyDescent="0.25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</row>
    <row r="4995" spans="1:13" x14ac:dyDescent="0.25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</row>
    <row r="4996" spans="1:13" x14ac:dyDescent="0.25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</row>
    <row r="4997" spans="1:13" x14ac:dyDescent="0.25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 x14ac:dyDescent="0.25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</row>
    <row r="4999" spans="1:13" x14ac:dyDescent="0.25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</row>
    <row r="5000" spans="1:13" x14ac:dyDescent="0.25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</row>
    <row r="5001" spans="1:13" x14ac:dyDescent="0.25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 x14ac:dyDescent="0.25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</row>
    <row r="5003" spans="1:13" x14ac:dyDescent="0.25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</row>
    <row r="5004" spans="1:13" x14ac:dyDescent="0.25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 x14ac:dyDescent="0.25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 x14ac:dyDescent="0.25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</row>
    <row r="5007" spans="1:13" x14ac:dyDescent="0.25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</row>
    <row r="5008" spans="1:13" x14ac:dyDescent="0.25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 x14ac:dyDescent="0.25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 x14ac:dyDescent="0.25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</row>
    <row r="5011" spans="1:13" x14ac:dyDescent="0.25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 x14ac:dyDescent="0.25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 x14ac:dyDescent="0.25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</row>
    <row r="5014" spans="1:13" x14ac:dyDescent="0.25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</row>
    <row r="5015" spans="1:13" x14ac:dyDescent="0.25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</row>
    <row r="5016" spans="1:13" x14ac:dyDescent="0.25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</row>
    <row r="5017" spans="1:13" x14ac:dyDescent="0.25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</row>
    <row r="5018" spans="1:13" x14ac:dyDescent="0.25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</row>
    <row r="5019" spans="1:13" x14ac:dyDescent="0.25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</row>
    <row r="5020" spans="1:13" x14ac:dyDescent="0.25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 x14ac:dyDescent="0.25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 x14ac:dyDescent="0.25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</row>
    <row r="5023" spans="1:13" x14ac:dyDescent="0.25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</row>
    <row r="5024" spans="1:13" x14ac:dyDescent="0.25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</row>
    <row r="5025" spans="1:13" x14ac:dyDescent="0.25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</row>
    <row r="5026" spans="1:13" x14ac:dyDescent="0.25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</row>
    <row r="5027" spans="1:13" x14ac:dyDescent="0.25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</row>
    <row r="5028" spans="1:13" x14ac:dyDescent="0.25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</row>
    <row r="5029" spans="1:13" x14ac:dyDescent="0.25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</row>
    <row r="5030" spans="1:13" x14ac:dyDescent="0.25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</row>
    <row r="5031" spans="1:13" x14ac:dyDescent="0.25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</row>
    <row r="5032" spans="1:13" x14ac:dyDescent="0.25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</row>
    <row r="5033" spans="1:13" x14ac:dyDescent="0.25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</row>
    <row r="5034" spans="1:13" x14ac:dyDescent="0.25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</row>
    <row r="5035" spans="1:13" x14ac:dyDescent="0.25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 x14ac:dyDescent="0.25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</row>
    <row r="5037" spans="1:13" x14ac:dyDescent="0.25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 x14ac:dyDescent="0.25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 x14ac:dyDescent="0.25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 x14ac:dyDescent="0.25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</row>
    <row r="5041" spans="1:13" x14ac:dyDescent="0.25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</row>
    <row r="5042" spans="1:13" x14ac:dyDescent="0.25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</row>
    <row r="5043" spans="1:13" x14ac:dyDescent="0.2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</row>
    <row r="5044" spans="1:13" x14ac:dyDescent="0.2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</row>
    <row r="5045" spans="1:13" x14ac:dyDescent="0.25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</row>
    <row r="5046" spans="1:13" x14ac:dyDescent="0.25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 x14ac:dyDescent="0.25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</row>
    <row r="5048" spans="1:13" x14ac:dyDescent="0.25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</row>
    <row r="5049" spans="1:13" x14ac:dyDescent="0.25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</row>
    <row r="5050" spans="1:13" x14ac:dyDescent="0.25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 x14ac:dyDescent="0.25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</row>
    <row r="5052" spans="1:13" x14ac:dyDescent="0.25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</row>
    <row r="5053" spans="1:13" x14ac:dyDescent="0.25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</row>
    <row r="5054" spans="1:13" x14ac:dyDescent="0.25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</row>
    <row r="5055" spans="1:13" x14ac:dyDescent="0.25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 x14ac:dyDescent="0.25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</row>
    <row r="5057" spans="1:13" x14ac:dyDescent="0.25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 x14ac:dyDescent="0.25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</row>
    <row r="5059" spans="1:13" x14ac:dyDescent="0.25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</row>
    <row r="5060" spans="1:13" x14ac:dyDescent="0.25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 x14ac:dyDescent="0.25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 x14ac:dyDescent="0.25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</row>
    <row r="5063" spans="1:13" x14ac:dyDescent="0.25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</row>
    <row r="5064" spans="1:13" x14ac:dyDescent="0.25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</row>
    <row r="5065" spans="1:13" x14ac:dyDescent="0.25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 x14ac:dyDescent="0.25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</row>
    <row r="5067" spans="1:13" x14ac:dyDescent="0.25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</row>
    <row r="5068" spans="1:13" x14ac:dyDescent="0.25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 x14ac:dyDescent="0.25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</row>
    <row r="5070" spans="1:13" x14ac:dyDescent="0.25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</row>
    <row r="5071" spans="1:13" x14ac:dyDescent="0.25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</row>
    <row r="5072" spans="1:13" x14ac:dyDescent="0.25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 x14ac:dyDescent="0.25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</row>
    <row r="5074" spans="1:13" x14ac:dyDescent="0.25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</row>
    <row r="5075" spans="1:13" x14ac:dyDescent="0.25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 x14ac:dyDescent="0.25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 x14ac:dyDescent="0.25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</row>
    <row r="5078" spans="1:13" x14ac:dyDescent="0.25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 x14ac:dyDescent="0.25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 x14ac:dyDescent="0.25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 x14ac:dyDescent="0.25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</row>
    <row r="5082" spans="1:13" x14ac:dyDescent="0.25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 x14ac:dyDescent="0.25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</row>
    <row r="5084" spans="1:13" x14ac:dyDescent="0.25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 x14ac:dyDescent="0.25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</row>
    <row r="5086" spans="1:13" x14ac:dyDescent="0.25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</row>
    <row r="5087" spans="1:13" x14ac:dyDescent="0.25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 x14ac:dyDescent="0.25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 x14ac:dyDescent="0.25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</row>
    <row r="5090" spans="1:13" x14ac:dyDescent="0.25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</row>
    <row r="5091" spans="1:13" x14ac:dyDescent="0.25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 x14ac:dyDescent="0.25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 x14ac:dyDescent="0.25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</row>
    <row r="5094" spans="1:13" x14ac:dyDescent="0.25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 x14ac:dyDescent="0.2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 x14ac:dyDescent="0.25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</row>
    <row r="5097" spans="1:13" x14ac:dyDescent="0.25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 x14ac:dyDescent="0.25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</row>
    <row r="5099" spans="1:13" x14ac:dyDescent="0.25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 x14ac:dyDescent="0.25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</row>
    <row r="5101" spans="1:13" x14ac:dyDescent="0.25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</row>
    <row r="5102" spans="1:13" x14ac:dyDescent="0.25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</row>
    <row r="5103" spans="1:13" x14ac:dyDescent="0.25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</row>
    <row r="5104" spans="1:13" x14ac:dyDescent="0.25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 x14ac:dyDescent="0.25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</row>
    <row r="5106" spans="1:13" x14ac:dyDescent="0.25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 x14ac:dyDescent="0.25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 x14ac:dyDescent="0.25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 x14ac:dyDescent="0.25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 x14ac:dyDescent="0.25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 x14ac:dyDescent="0.25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</row>
    <row r="5112" spans="1:13" x14ac:dyDescent="0.25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 x14ac:dyDescent="0.25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</row>
    <row r="5114" spans="1:13" x14ac:dyDescent="0.25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</row>
    <row r="5115" spans="1:13" x14ac:dyDescent="0.25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 x14ac:dyDescent="0.25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 x14ac:dyDescent="0.25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</row>
    <row r="5118" spans="1:13" x14ac:dyDescent="0.25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</row>
    <row r="5119" spans="1:13" x14ac:dyDescent="0.25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 x14ac:dyDescent="0.25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</row>
    <row r="5121" spans="1:13" x14ac:dyDescent="0.25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</row>
    <row r="5122" spans="1:13" x14ac:dyDescent="0.25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 x14ac:dyDescent="0.25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</row>
    <row r="5124" spans="1:13" x14ac:dyDescent="0.25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</row>
    <row r="5125" spans="1:13" x14ac:dyDescent="0.25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 x14ac:dyDescent="0.2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 x14ac:dyDescent="0.2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 x14ac:dyDescent="0.25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</row>
    <row r="5129" spans="1:13" x14ac:dyDescent="0.25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</row>
    <row r="5130" spans="1:13" x14ac:dyDescent="0.25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</row>
    <row r="5131" spans="1:13" x14ac:dyDescent="0.25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 x14ac:dyDescent="0.25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</row>
    <row r="5133" spans="1:13" x14ac:dyDescent="0.25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 x14ac:dyDescent="0.25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 x14ac:dyDescent="0.25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</row>
    <row r="5136" spans="1:13" x14ac:dyDescent="0.25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 x14ac:dyDescent="0.25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</row>
    <row r="5138" spans="1:13" x14ac:dyDescent="0.25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</row>
    <row r="5139" spans="1:13" x14ac:dyDescent="0.25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 x14ac:dyDescent="0.25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 x14ac:dyDescent="0.25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</row>
    <row r="5142" spans="1:13" x14ac:dyDescent="0.25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</row>
    <row r="5143" spans="1:13" x14ac:dyDescent="0.25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</row>
    <row r="5144" spans="1:13" x14ac:dyDescent="0.25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 x14ac:dyDescent="0.25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</row>
    <row r="5146" spans="1:13" x14ac:dyDescent="0.25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 x14ac:dyDescent="0.25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 x14ac:dyDescent="0.25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</row>
    <row r="5149" spans="1:13" x14ac:dyDescent="0.25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</row>
    <row r="5150" spans="1:13" x14ac:dyDescent="0.25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</row>
    <row r="5151" spans="1:13" x14ac:dyDescent="0.25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 x14ac:dyDescent="0.25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</row>
    <row r="5153" spans="1:13" x14ac:dyDescent="0.25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 x14ac:dyDescent="0.25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</row>
    <row r="5155" spans="1:13" x14ac:dyDescent="0.25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 x14ac:dyDescent="0.25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</row>
    <row r="5157" spans="1:13" x14ac:dyDescent="0.25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 x14ac:dyDescent="0.25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</row>
    <row r="5159" spans="1:13" x14ac:dyDescent="0.25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 x14ac:dyDescent="0.25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 x14ac:dyDescent="0.25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</row>
    <row r="5162" spans="1:13" x14ac:dyDescent="0.25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</row>
    <row r="5163" spans="1:13" x14ac:dyDescent="0.25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</row>
    <row r="5164" spans="1:13" x14ac:dyDescent="0.25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</row>
    <row r="5165" spans="1:13" x14ac:dyDescent="0.25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</row>
    <row r="5166" spans="1:13" x14ac:dyDescent="0.2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</row>
    <row r="5167" spans="1:13" x14ac:dyDescent="0.25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 x14ac:dyDescent="0.25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</row>
    <row r="5169" spans="1:13" x14ac:dyDescent="0.25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</row>
    <row r="5170" spans="1:13" x14ac:dyDescent="0.25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 x14ac:dyDescent="0.25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 x14ac:dyDescent="0.25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 x14ac:dyDescent="0.25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</row>
    <row r="5174" spans="1:13" x14ac:dyDescent="0.25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</row>
    <row r="5175" spans="1:13" x14ac:dyDescent="0.25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 x14ac:dyDescent="0.25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</row>
    <row r="5177" spans="1:13" x14ac:dyDescent="0.25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 x14ac:dyDescent="0.25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 x14ac:dyDescent="0.25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</row>
    <row r="5180" spans="1:13" x14ac:dyDescent="0.25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 x14ac:dyDescent="0.25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 x14ac:dyDescent="0.25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 x14ac:dyDescent="0.25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</row>
    <row r="5184" spans="1:13" x14ac:dyDescent="0.25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 x14ac:dyDescent="0.25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</row>
    <row r="5186" spans="1:13" x14ac:dyDescent="0.25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</row>
    <row r="5187" spans="1:13" x14ac:dyDescent="0.25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</row>
    <row r="5188" spans="1:13" x14ac:dyDescent="0.25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</row>
    <row r="5189" spans="1:13" x14ac:dyDescent="0.25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</row>
    <row r="5190" spans="1:13" x14ac:dyDescent="0.25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</row>
    <row r="5191" spans="1:13" x14ac:dyDescent="0.25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</row>
    <row r="5192" spans="1:13" x14ac:dyDescent="0.25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 x14ac:dyDescent="0.25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</row>
    <row r="5194" spans="1:13" x14ac:dyDescent="0.25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</row>
    <row r="5195" spans="1:13" x14ac:dyDescent="0.25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 x14ac:dyDescent="0.25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 x14ac:dyDescent="0.25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</row>
    <row r="5198" spans="1:13" x14ac:dyDescent="0.25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</row>
    <row r="5199" spans="1:13" x14ac:dyDescent="0.25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</row>
    <row r="5200" spans="1:13" x14ac:dyDescent="0.25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 x14ac:dyDescent="0.25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</row>
    <row r="5202" spans="1:13" x14ac:dyDescent="0.25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</row>
    <row r="5203" spans="1:13" x14ac:dyDescent="0.25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</row>
    <row r="5204" spans="1:13" x14ac:dyDescent="0.25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 x14ac:dyDescent="0.25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</row>
    <row r="5206" spans="1:13" x14ac:dyDescent="0.2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 x14ac:dyDescent="0.25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 x14ac:dyDescent="0.25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 x14ac:dyDescent="0.25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</row>
    <row r="5210" spans="1:13" x14ac:dyDescent="0.25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 x14ac:dyDescent="0.25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 x14ac:dyDescent="0.25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</row>
    <row r="5213" spans="1:13" x14ac:dyDescent="0.25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</row>
    <row r="5214" spans="1:13" x14ac:dyDescent="0.25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</row>
    <row r="5215" spans="1:13" x14ac:dyDescent="0.25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</row>
    <row r="5216" spans="1:13" x14ac:dyDescent="0.25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</row>
    <row r="5217" spans="1:13" x14ac:dyDescent="0.25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 x14ac:dyDescent="0.25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</row>
    <row r="5219" spans="1:13" x14ac:dyDescent="0.25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</row>
    <row r="5220" spans="1:13" x14ac:dyDescent="0.25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</row>
    <row r="5221" spans="1:13" x14ac:dyDescent="0.25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</row>
    <row r="5222" spans="1:13" x14ac:dyDescent="0.25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</row>
    <row r="5223" spans="1:13" x14ac:dyDescent="0.25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</row>
    <row r="5224" spans="1:13" x14ac:dyDescent="0.25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 x14ac:dyDescent="0.25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</row>
    <row r="5226" spans="1:13" x14ac:dyDescent="0.25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 x14ac:dyDescent="0.25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</row>
    <row r="5228" spans="1:13" x14ac:dyDescent="0.25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 x14ac:dyDescent="0.25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 x14ac:dyDescent="0.25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 x14ac:dyDescent="0.25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 x14ac:dyDescent="0.25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 x14ac:dyDescent="0.25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</row>
    <row r="5234" spans="1:13" x14ac:dyDescent="0.25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</row>
    <row r="5235" spans="1:13" x14ac:dyDescent="0.25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</row>
    <row r="5236" spans="1:13" x14ac:dyDescent="0.25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</row>
    <row r="5237" spans="1:13" x14ac:dyDescent="0.25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</row>
    <row r="5238" spans="1:13" x14ac:dyDescent="0.25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 x14ac:dyDescent="0.25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 x14ac:dyDescent="0.25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</row>
    <row r="5241" spans="1:13" x14ac:dyDescent="0.25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 x14ac:dyDescent="0.25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 x14ac:dyDescent="0.25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</row>
    <row r="5244" spans="1:13" x14ac:dyDescent="0.25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 x14ac:dyDescent="0.25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</row>
    <row r="5246" spans="1:13" x14ac:dyDescent="0.25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 x14ac:dyDescent="0.25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</row>
    <row r="5248" spans="1:13" x14ac:dyDescent="0.25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</row>
    <row r="5249" spans="1:13" x14ac:dyDescent="0.25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</row>
    <row r="5250" spans="1:13" x14ac:dyDescent="0.25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 x14ac:dyDescent="0.25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</row>
    <row r="5252" spans="1:13" x14ac:dyDescent="0.25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 x14ac:dyDescent="0.25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</row>
    <row r="5254" spans="1:13" x14ac:dyDescent="0.25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 x14ac:dyDescent="0.25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</row>
    <row r="5256" spans="1:13" x14ac:dyDescent="0.25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 x14ac:dyDescent="0.25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</row>
    <row r="5258" spans="1:13" x14ac:dyDescent="0.25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</row>
    <row r="5259" spans="1:13" x14ac:dyDescent="0.25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</row>
    <row r="5260" spans="1:13" x14ac:dyDescent="0.25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 x14ac:dyDescent="0.25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 x14ac:dyDescent="0.25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</row>
    <row r="5263" spans="1:13" x14ac:dyDescent="0.25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</row>
    <row r="5264" spans="1:13" x14ac:dyDescent="0.25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</row>
    <row r="5265" spans="1:13" x14ac:dyDescent="0.25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</row>
    <row r="5266" spans="1:13" x14ac:dyDescent="0.25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 x14ac:dyDescent="0.25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 x14ac:dyDescent="0.25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 x14ac:dyDescent="0.25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</row>
    <row r="5270" spans="1:13" x14ac:dyDescent="0.25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</row>
    <row r="5271" spans="1:13" x14ac:dyDescent="0.25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 x14ac:dyDescent="0.25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 x14ac:dyDescent="0.25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</row>
    <row r="5274" spans="1:13" x14ac:dyDescent="0.25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 x14ac:dyDescent="0.25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</row>
    <row r="5276" spans="1:13" x14ac:dyDescent="0.25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 x14ac:dyDescent="0.25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</row>
    <row r="5278" spans="1:13" x14ac:dyDescent="0.25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</row>
    <row r="5279" spans="1:13" x14ac:dyDescent="0.25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 x14ac:dyDescent="0.25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</row>
    <row r="5281" spans="1:13" x14ac:dyDescent="0.25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 x14ac:dyDescent="0.25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</row>
    <row r="5283" spans="1:13" x14ac:dyDescent="0.25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 x14ac:dyDescent="0.25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 x14ac:dyDescent="0.25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</row>
    <row r="5286" spans="1:13" x14ac:dyDescent="0.25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 x14ac:dyDescent="0.25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 x14ac:dyDescent="0.25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 x14ac:dyDescent="0.25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 x14ac:dyDescent="0.25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</row>
    <row r="5291" spans="1:13" x14ac:dyDescent="0.25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 x14ac:dyDescent="0.2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 x14ac:dyDescent="0.25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</row>
    <row r="5294" spans="1:13" x14ac:dyDescent="0.25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 x14ac:dyDescent="0.25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</row>
    <row r="5296" spans="1:13" x14ac:dyDescent="0.25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 x14ac:dyDescent="0.25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</row>
    <row r="5298" spans="1:13" x14ac:dyDescent="0.25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</row>
    <row r="5299" spans="1:13" x14ac:dyDescent="0.25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 x14ac:dyDescent="0.25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 x14ac:dyDescent="0.25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</row>
    <row r="5302" spans="1:13" x14ac:dyDescent="0.25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 x14ac:dyDescent="0.25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</row>
    <row r="5304" spans="1:13" x14ac:dyDescent="0.25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 x14ac:dyDescent="0.25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 x14ac:dyDescent="0.25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</row>
    <row r="5307" spans="1:13" x14ac:dyDescent="0.25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 x14ac:dyDescent="0.25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 x14ac:dyDescent="0.25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 x14ac:dyDescent="0.25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 x14ac:dyDescent="0.25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</row>
    <row r="5312" spans="1:13" x14ac:dyDescent="0.25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 x14ac:dyDescent="0.25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 x14ac:dyDescent="0.25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 x14ac:dyDescent="0.25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 x14ac:dyDescent="0.25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</row>
    <row r="5317" spans="1:13" x14ac:dyDescent="0.25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 x14ac:dyDescent="0.2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 x14ac:dyDescent="0.2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 x14ac:dyDescent="0.25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</row>
    <row r="5321" spans="1:13" x14ac:dyDescent="0.25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 x14ac:dyDescent="0.25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</row>
    <row r="5323" spans="1:13" x14ac:dyDescent="0.25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</row>
    <row r="5324" spans="1:13" x14ac:dyDescent="0.25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 x14ac:dyDescent="0.25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</row>
    <row r="5326" spans="1:13" x14ac:dyDescent="0.25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 x14ac:dyDescent="0.25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</row>
    <row r="5328" spans="1:13" x14ac:dyDescent="0.25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</row>
    <row r="5329" spans="1:13" x14ac:dyDescent="0.25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 x14ac:dyDescent="0.25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</row>
    <row r="5331" spans="1:13" x14ac:dyDescent="0.25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</row>
    <row r="5332" spans="1:13" x14ac:dyDescent="0.25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</row>
    <row r="5333" spans="1:13" x14ac:dyDescent="0.25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 x14ac:dyDescent="0.25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</row>
    <row r="5335" spans="1:13" x14ac:dyDescent="0.25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 x14ac:dyDescent="0.25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</row>
    <row r="5337" spans="1:13" x14ac:dyDescent="0.25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</row>
    <row r="5338" spans="1:13" x14ac:dyDescent="0.25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 x14ac:dyDescent="0.25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 x14ac:dyDescent="0.25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 x14ac:dyDescent="0.25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</row>
    <row r="5342" spans="1:13" x14ac:dyDescent="0.25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</row>
    <row r="5343" spans="1:13" x14ac:dyDescent="0.25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 x14ac:dyDescent="0.25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 x14ac:dyDescent="0.25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 x14ac:dyDescent="0.25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</row>
    <row r="5347" spans="1:13" x14ac:dyDescent="0.25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 x14ac:dyDescent="0.25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 x14ac:dyDescent="0.25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</row>
    <row r="5350" spans="1:13" x14ac:dyDescent="0.25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</row>
    <row r="5351" spans="1:13" x14ac:dyDescent="0.25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 x14ac:dyDescent="0.25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</row>
    <row r="5353" spans="1:13" x14ac:dyDescent="0.25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</row>
    <row r="5354" spans="1:13" x14ac:dyDescent="0.25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</row>
    <row r="5355" spans="1:13" x14ac:dyDescent="0.25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</row>
    <row r="5356" spans="1:13" x14ac:dyDescent="0.25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 x14ac:dyDescent="0.25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 x14ac:dyDescent="0.25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</row>
    <row r="5359" spans="1:13" x14ac:dyDescent="0.25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</row>
    <row r="5360" spans="1:13" x14ac:dyDescent="0.25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</row>
    <row r="5361" spans="1:13" x14ac:dyDescent="0.25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 x14ac:dyDescent="0.25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</row>
    <row r="5363" spans="1:13" x14ac:dyDescent="0.25"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</row>
    <row r="5364" spans="1:13" x14ac:dyDescent="0.25"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 x14ac:dyDescent="0.25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</row>
    <row r="5366" spans="1:13" x14ac:dyDescent="0.25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 x14ac:dyDescent="0.25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 x14ac:dyDescent="0.25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 x14ac:dyDescent="0.25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 x14ac:dyDescent="0.25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 x14ac:dyDescent="0.25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 x14ac:dyDescent="0.25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</row>
    <row r="5373" spans="1:13" x14ac:dyDescent="0.25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</row>
    <row r="5374" spans="1:13" x14ac:dyDescent="0.25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 x14ac:dyDescent="0.25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</row>
    <row r="5376" spans="1:13" x14ac:dyDescent="0.25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</row>
    <row r="5377" spans="1:13" x14ac:dyDescent="0.25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 x14ac:dyDescent="0.25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</row>
    <row r="5379" spans="1:13" x14ac:dyDescent="0.25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</row>
    <row r="5380" spans="1:13" x14ac:dyDescent="0.25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 x14ac:dyDescent="0.25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 x14ac:dyDescent="0.25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 x14ac:dyDescent="0.25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</row>
    <row r="5384" spans="1:13" x14ac:dyDescent="0.25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 x14ac:dyDescent="0.25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</row>
    <row r="5386" spans="1:13" x14ac:dyDescent="0.25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 x14ac:dyDescent="0.25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 x14ac:dyDescent="0.25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 x14ac:dyDescent="0.25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 x14ac:dyDescent="0.25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 x14ac:dyDescent="0.25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 x14ac:dyDescent="0.25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</row>
    <row r="5393" spans="1:13" x14ac:dyDescent="0.25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</row>
    <row r="5394" spans="1:13" x14ac:dyDescent="0.25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</row>
    <row r="5395" spans="1:13" x14ac:dyDescent="0.25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</row>
    <row r="5396" spans="1:13" x14ac:dyDescent="0.25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 x14ac:dyDescent="0.25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 x14ac:dyDescent="0.25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 x14ac:dyDescent="0.25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</row>
    <row r="5400" spans="1:13" x14ac:dyDescent="0.25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</row>
    <row r="5401" spans="1:13" x14ac:dyDescent="0.2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</row>
    <row r="5402" spans="1:13" x14ac:dyDescent="0.25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</row>
    <row r="5403" spans="1:13" x14ac:dyDescent="0.25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</row>
    <row r="5404" spans="1:13" x14ac:dyDescent="0.25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</row>
    <row r="5405" spans="1:13" x14ac:dyDescent="0.25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 x14ac:dyDescent="0.25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 x14ac:dyDescent="0.25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</row>
    <row r="5408" spans="1:13" x14ac:dyDescent="0.25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 x14ac:dyDescent="0.25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</row>
    <row r="5410" spans="1:13" x14ac:dyDescent="0.25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 x14ac:dyDescent="0.25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</row>
    <row r="5412" spans="1:13" x14ac:dyDescent="0.25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 x14ac:dyDescent="0.25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 x14ac:dyDescent="0.25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</row>
    <row r="5415" spans="1:13" x14ac:dyDescent="0.25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 x14ac:dyDescent="0.25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 x14ac:dyDescent="0.25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 x14ac:dyDescent="0.25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</row>
    <row r="5419" spans="1:13" x14ac:dyDescent="0.25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</row>
    <row r="5420" spans="1:13" x14ac:dyDescent="0.25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</row>
    <row r="5421" spans="1:13" x14ac:dyDescent="0.25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</row>
    <row r="5422" spans="1:13" x14ac:dyDescent="0.25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 x14ac:dyDescent="0.25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</row>
    <row r="5424" spans="1:13" x14ac:dyDescent="0.25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 x14ac:dyDescent="0.25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</row>
    <row r="5426" spans="1:13" x14ac:dyDescent="0.25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 x14ac:dyDescent="0.25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</row>
    <row r="5428" spans="1:13" x14ac:dyDescent="0.25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 x14ac:dyDescent="0.25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 x14ac:dyDescent="0.25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 x14ac:dyDescent="0.25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</row>
    <row r="5432" spans="1:13" x14ac:dyDescent="0.25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</row>
    <row r="5433" spans="1:13" x14ac:dyDescent="0.25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</row>
    <row r="5434" spans="1:13" x14ac:dyDescent="0.25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 x14ac:dyDescent="0.25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 x14ac:dyDescent="0.25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</row>
    <row r="5437" spans="1:13" x14ac:dyDescent="0.25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 x14ac:dyDescent="0.25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 x14ac:dyDescent="0.25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</row>
    <row r="5440" spans="1:13" x14ac:dyDescent="0.25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 x14ac:dyDescent="0.2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</row>
    <row r="5442" spans="1:13" x14ac:dyDescent="0.25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</row>
    <row r="5443" spans="1:13" x14ac:dyDescent="0.25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</row>
    <row r="5444" spans="1:13" x14ac:dyDescent="0.25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</row>
    <row r="5445" spans="1:13" x14ac:dyDescent="0.25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</row>
    <row r="5446" spans="1:13" x14ac:dyDescent="0.25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</row>
    <row r="5447" spans="1:13" x14ac:dyDescent="0.25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</row>
    <row r="5448" spans="1:13" x14ac:dyDescent="0.25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</row>
    <row r="5449" spans="1:13" x14ac:dyDescent="0.25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</row>
    <row r="5450" spans="1:13" x14ac:dyDescent="0.25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 x14ac:dyDescent="0.25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 x14ac:dyDescent="0.25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 x14ac:dyDescent="0.25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 x14ac:dyDescent="0.25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</row>
    <row r="5455" spans="1:13" x14ac:dyDescent="0.25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 x14ac:dyDescent="0.25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 x14ac:dyDescent="0.25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 x14ac:dyDescent="0.25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</row>
    <row r="5459" spans="1:13" x14ac:dyDescent="0.25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 x14ac:dyDescent="0.25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</row>
    <row r="5461" spans="1:13" x14ac:dyDescent="0.25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</row>
    <row r="5462" spans="1:13" x14ac:dyDescent="0.25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</row>
    <row r="5463" spans="1:13" x14ac:dyDescent="0.25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 x14ac:dyDescent="0.25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 x14ac:dyDescent="0.25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 x14ac:dyDescent="0.25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 x14ac:dyDescent="0.25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</row>
    <row r="5468" spans="1:13" x14ac:dyDescent="0.25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 x14ac:dyDescent="0.25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</row>
    <row r="5470" spans="1:13" x14ac:dyDescent="0.25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</row>
    <row r="5471" spans="1:13" x14ac:dyDescent="0.25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</row>
    <row r="5472" spans="1:13" x14ac:dyDescent="0.25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 x14ac:dyDescent="0.25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</row>
    <row r="5474" spans="1:13" x14ac:dyDescent="0.25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 x14ac:dyDescent="0.25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</row>
    <row r="5476" spans="1:13" x14ac:dyDescent="0.25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 x14ac:dyDescent="0.25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</row>
    <row r="5478" spans="1:13" x14ac:dyDescent="0.25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</row>
    <row r="5479" spans="1:13" x14ac:dyDescent="0.25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 x14ac:dyDescent="0.25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</row>
    <row r="5481" spans="1:13" x14ac:dyDescent="0.25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</row>
    <row r="5482" spans="1:13" x14ac:dyDescent="0.25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 x14ac:dyDescent="0.25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 x14ac:dyDescent="0.25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 x14ac:dyDescent="0.25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 x14ac:dyDescent="0.25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 x14ac:dyDescent="0.25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</row>
    <row r="5488" spans="1:13" x14ac:dyDescent="0.25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</row>
    <row r="5489" spans="1:13" x14ac:dyDescent="0.25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 x14ac:dyDescent="0.25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 x14ac:dyDescent="0.25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 x14ac:dyDescent="0.25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 x14ac:dyDescent="0.25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</row>
    <row r="5494" spans="1:13" x14ac:dyDescent="0.25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</row>
    <row r="5495" spans="1:13" x14ac:dyDescent="0.25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 x14ac:dyDescent="0.25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</row>
    <row r="5497" spans="1:13" x14ac:dyDescent="0.25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 x14ac:dyDescent="0.25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 x14ac:dyDescent="0.25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 x14ac:dyDescent="0.25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</row>
    <row r="5501" spans="1:13" x14ac:dyDescent="0.25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 x14ac:dyDescent="0.25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 x14ac:dyDescent="0.25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</row>
    <row r="5504" spans="1:13" x14ac:dyDescent="0.25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 x14ac:dyDescent="0.25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</row>
    <row r="5506" spans="1:13" x14ac:dyDescent="0.25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 x14ac:dyDescent="0.25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</row>
    <row r="5508" spans="1:13" x14ac:dyDescent="0.25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 x14ac:dyDescent="0.25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</row>
    <row r="5510" spans="1:13" x14ac:dyDescent="0.25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</row>
    <row r="5511" spans="1:13" x14ac:dyDescent="0.25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</row>
    <row r="5512" spans="1:13" x14ac:dyDescent="0.25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</row>
    <row r="5513" spans="1:13" x14ac:dyDescent="0.25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</row>
    <row r="5514" spans="1:13" x14ac:dyDescent="0.25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</row>
    <row r="5515" spans="1:13" x14ac:dyDescent="0.25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 x14ac:dyDescent="0.25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 x14ac:dyDescent="0.25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</row>
    <row r="5518" spans="1:13" x14ac:dyDescent="0.25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 x14ac:dyDescent="0.25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</row>
    <row r="5520" spans="1:13" x14ac:dyDescent="0.25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 x14ac:dyDescent="0.25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</row>
    <row r="5522" spans="1:13" x14ac:dyDescent="0.25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 x14ac:dyDescent="0.25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</row>
    <row r="5524" spans="1:13" x14ac:dyDescent="0.25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</row>
    <row r="5525" spans="1:13" x14ac:dyDescent="0.25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 x14ac:dyDescent="0.25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</row>
    <row r="5527" spans="1:13" x14ac:dyDescent="0.25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</row>
    <row r="5528" spans="1:13" x14ac:dyDescent="0.25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</row>
    <row r="5529" spans="1:13" x14ac:dyDescent="0.25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</row>
    <row r="5530" spans="1:13" x14ac:dyDescent="0.25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</row>
    <row r="5531" spans="1:13" x14ac:dyDescent="0.25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</row>
    <row r="5532" spans="1:13" x14ac:dyDescent="0.25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</row>
    <row r="5533" spans="1:13" x14ac:dyDescent="0.2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</row>
    <row r="5534" spans="1:13" x14ac:dyDescent="0.2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</row>
    <row r="5535" spans="1:13" x14ac:dyDescent="0.25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</row>
    <row r="5536" spans="1:13" x14ac:dyDescent="0.25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 x14ac:dyDescent="0.25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 x14ac:dyDescent="0.25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</row>
    <row r="5539" spans="1:13" x14ac:dyDescent="0.25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 x14ac:dyDescent="0.25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</row>
    <row r="5541" spans="1:13" x14ac:dyDescent="0.25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 x14ac:dyDescent="0.25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 x14ac:dyDescent="0.25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 x14ac:dyDescent="0.25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 x14ac:dyDescent="0.25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 x14ac:dyDescent="0.25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</row>
    <row r="5547" spans="1:13" x14ac:dyDescent="0.25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 x14ac:dyDescent="0.25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 x14ac:dyDescent="0.25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 x14ac:dyDescent="0.25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 x14ac:dyDescent="0.25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 x14ac:dyDescent="0.25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</row>
    <row r="5553" spans="1:13" x14ac:dyDescent="0.25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</row>
    <row r="5554" spans="1:13" x14ac:dyDescent="0.25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</row>
    <row r="5555" spans="1:13" x14ac:dyDescent="0.25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</row>
    <row r="5556" spans="1:13" x14ac:dyDescent="0.25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</row>
    <row r="5557" spans="1:13" x14ac:dyDescent="0.25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 x14ac:dyDescent="0.25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</row>
    <row r="5559" spans="1:13" x14ac:dyDescent="0.25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</row>
    <row r="5560" spans="1:13" x14ac:dyDescent="0.25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 x14ac:dyDescent="0.25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</row>
    <row r="5562" spans="1:13" x14ac:dyDescent="0.25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 x14ac:dyDescent="0.25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 x14ac:dyDescent="0.25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</row>
    <row r="5565" spans="1:13" x14ac:dyDescent="0.25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 x14ac:dyDescent="0.2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</row>
    <row r="5567" spans="1:13" x14ac:dyDescent="0.2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</row>
    <row r="5568" spans="1:13" x14ac:dyDescent="0.25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 x14ac:dyDescent="0.25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</row>
    <row r="5570" spans="1:13" x14ac:dyDescent="0.25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 x14ac:dyDescent="0.25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</row>
    <row r="5572" spans="1:13" x14ac:dyDescent="0.25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</row>
    <row r="5573" spans="1:13" x14ac:dyDescent="0.25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</row>
    <row r="5574" spans="1:13" x14ac:dyDescent="0.25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 x14ac:dyDescent="0.25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</row>
    <row r="5576" spans="1:13" x14ac:dyDescent="0.25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</row>
    <row r="5577" spans="1:13" x14ac:dyDescent="0.25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 x14ac:dyDescent="0.25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</row>
    <row r="5579" spans="1:13" x14ac:dyDescent="0.25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</row>
    <row r="5580" spans="1:13" x14ac:dyDescent="0.25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</row>
    <row r="5581" spans="1:13" x14ac:dyDescent="0.25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 x14ac:dyDescent="0.25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 x14ac:dyDescent="0.25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</row>
    <row r="5584" spans="1:13" x14ac:dyDescent="0.25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</row>
    <row r="5585" spans="1:13" x14ac:dyDescent="0.25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</row>
    <row r="5586" spans="1:13" x14ac:dyDescent="0.25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 x14ac:dyDescent="0.25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</row>
    <row r="5588" spans="1:13" x14ac:dyDescent="0.25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 x14ac:dyDescent="0.25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 x14ac:dyDescent="0.25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 x14ac:dyDescent="0.25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 x14ac:dyDescent="0.25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</row>
    <row r="5593" spans="1:13" x14ac:dyDescent="0.25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</row>
    <row r="5594" spans="1:13" x14ac:dyDescent="0.25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</row>
    <row r="5595" spans="1:13" x14ac:dyDescent="0.25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</row>
    <row r="5596" spans="1:13" x14ac:dyDescent="0.25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 x14ac:dyDescent="0.25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</row>
    <row r="5598" spans="1:13" x14ac:dyDescent="0.25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</row>
    <row r="5599" spans="1:13" x14ac:dyDescent="0.25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</row>
    <row r="5600" spans="1:13" x14ac:dyDescent="0.25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</row>
    <row r="5601" spans="1:13" x14ac:dyDescent="0.25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</row>
    <row r="5602" spans="1:13" x14ac:dyDescent="0.25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 x14ac:dyDescent="0.25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 x14ac:dyDescent="0.25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</row>
    <row r="5605" spans="1:13" x14ac:dyDescent="0.25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</row>
    <row r="5606" spans="1:13" x14ac:dyDescent="0.25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 x14ac:dyDescent="0.25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 x14ac:dyDescent="0.25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</row>
    <row r="5609" spans="1:13" x14ac:dyDescent="0.25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</row>
    <row r="5610" spans="1:13" x14ac:dyDescent="0.25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</row>
    <row r="5611" spans="1:13" x14ac:dyDescent="0.25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</row>
    <row r="5612" spans="1:13" x14ac:dyDescent="0.25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</row>
    <row r="5613" spans="1:13" x14ac:dyDescent="0.25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</row>
    <row r="5614" spans="1:13" x14ac:dyDescent="0.25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</row>
    <row r="5615" spans="1:13" x14ac:dyDescent="0.25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</row>
    <row r="5616" spans="1:13" x14ac:dyDescent="0.25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</row>
    <row r="5617" spans="1:13" x14ac:dyDescent="0.25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</row>
    <row r="5618" spans="1:13" x14ac:dyDescent="0.25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 x14ac:dyDescent="0.25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 x14ac:dyDescent="0.25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</row>
    <row r="5621" spans="1:13" x14ac:dyDescent="0.25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</row>
    <row r="5622" spans="1:13" x14ac:dyDescent="0.25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</row>
    <row r="5623" spans="1:13" x14ac:dyDescent="0.25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 x14ac:dyDescent="0.25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 x14ac:dyDescent="0.25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</row>
    <row r="5626" spans="1:13" x14ac:dyDescent="0.25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 x14ac:dyDescent="0.25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 x14ac:dyDescent="0.25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</row>
    <row r="5629" spans="1:13" x14ac:dyDescent="0.25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</row>
    <row r="5630" spans="1:13" x14ac:dyDescent="0.25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</row>
    <row r="5631" spans="1:13" x14ac:dyDescent="0.25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 x14ac:dyDescent="0.25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</row>
    <row r="5633" spans="1:13" x14ac:dyDescent="0.25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</row>
    <row r="5634" spans="1:13" x14ac:dyDescent="0.25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</row>
    <row r="5635" spans="1:13" x14ac:dyDescent="0.25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 x14ac:dyDescent="0.25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 x14ac:dyDescent="0.25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 x14ac:dyDescent="0.25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 x14ac:dyDescent="0.25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</row>
    <row r="5640" spans="1:13" x14ac:dyDescent="0.25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 x14ac:dyDescent="0.25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</row>
    <row r="5642" spans="1:13" x14ac:dyDescent="0.25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</row>
    <row r="5643" spans="1:13" x14ac:dyDescent="0.25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</row>
    <row r="5644" spans="1:13" x14ac:dyDescent="0.25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 x14ac:dyDescent="0.25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</row>
    <row r="5646" spans="1:13" x14ac:dyDescent="0.25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</row>
    <row r="5647" spans="1:13" x14ac:dyDescent="0.25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</row>
    <row r="5648" spans="1:13" x14ac:dyDescent="0.25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</row>
    <row r="5649" spans="1:13" x14ac:dyDescent="0.25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</row>
    <row r="5650" spans="1:13" x14ac:dyDescent="0.25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</row>
    <row r="5651" spans="1:13" x14ac:dyDescent="0.25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 x14ac:dyDescent="0.25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 x14ac:dyDescent="0.25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</row>
    <row r="5654" spans="1:13" x14ac:dyDescent="0.25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</row>
    <row r="5655" spans="1:13" x14ac:dyDescent="0.25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</row>
    <row r="5656" spans="1:13" x14ac:dyDescent="0.2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 x14ac:dyDescent="0.2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 x14ac:dyDescent="0.25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</row>
    <row r="5659" spans="1:13" x14ac:dyDescent="0.25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 x14ac:dyDescent="0.25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</row>
    <row r="5661" spans="1:13" x14ac:dyDescent="0.25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 x14ac:dyDescent="0.25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 x14ac:dyDescent="0.25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</row>
    <row r="5664" spans="1:13" x14ac:dyDescent="0.25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 x14ac:dyDescent="0.25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 x14ac:dyDescent="0.25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 x14ac:dyDescent="0.25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</row>
    <row r="5668" spans="1:13" x14ac:dyDescent="0.25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</row>
    <row r="5669" spans="1:13" x14ac:dyDescent="0.25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</row>
    <row r="5670" spans="1:13" x14ac:dyDescent="0.25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</row>
    <row r="5671" spans="1:13" x14ac:dyDescent="0.2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</row>
    <row r="5672" spans="1:13" x14ac:dyDescent="0.25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 x14ac:dyDescent="0.25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</row>
    <row r="5674" spans="1:13" x14ac:dyDescent="0.25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 x14ac:dyDescent="0.25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 x14ac:dyDescent="0.25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</row>
    <row r="5677" spans="1:13" x14ac:dyDescent="0.25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</row>
    <row r="5678" spans="1:13" x14ac:dyDescent="0.25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</row>
    <row r="5679" spans="1:13" x14ac:dyDescent="0.25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</row>
    <row r="5680" spans="1:13" x14ac:dyDescent="0.25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</row>
    <row r="5681" spans="1:13" x14ac:dyDescent="0.25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</row>
    <row r="5682" spans="1:13" x14ac:dyDescent="0.25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</row>
    <row r="5683" spans="1:13" x14ac:dyDescent="0.25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</row>
    <row r="5684" spans="1:13" x14ac:dyDescent="0.25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 x14ac:dyDescent="0.25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 x14ac:dyDescent="0.25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 x14ac:dyDescent="0.25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</row>
    <row r="5688" spans="1:13" x14ac:dyDescent="0.25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</row>
    <row r="5689" spans="1:13" x14ac:dyDescent="0.25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</row>
    <row r="5690" spans="1:13" x14ac:dyDescent="0.25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</row>
    <row r="5691" spans="1:13" x14ac:dyDescent="0.25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</row>
    <row r="5692" spans="1:13" x14ac:dyDescent="0.25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 x14ac:dyDescent="0.25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 x14ac:dyDescent="0.25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</row>
    <row r="5695" spans="1:13" x14ac:dyDescent="0.25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 x14ac:dyDescent="0.25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 x14ac:dyDescent="0.25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</row>
    <row r="5698" spans="1:13" x14ac:dyDescent="0.25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</row>
    <row r="5699" spans="1:13" x14ac:dyDescent="0.25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 x14ac:dyDescent="0.25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</row>
    <row r="5701" spans="1:13" x14ac:dyDescent="0.25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 x14ac:dyDescent="0.25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</row>
    <row r="5703" spans="1:13" x14ac:dyDescent="0.25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 x14ac:dyDescent="0.25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</row>
    <row r="5705" spans="1:13" x14ac:dyDescent="0.25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</row>
    <row r="5706" spans="1:13" x14ac:dyDescent="0.25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 x14ac:dyDescent="0.25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 x14ac:dyDescent="0.25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 x14ac:dyDescent="0.25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</row>
    <row r="5710" spans="1:13" x14ac:dyDescent="0.25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</row>
    <row r="5711" spans="1:13" x14ac:dyDescent="0.25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</row>
    <row r="5712" spans="1:13" x14ac:dyDescent="0.25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 x14ac:dyDescent="0.25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</row>
    <row r="5714" spans="1:13" x14ac:dyDescent="0.25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</row>
    <row r="5715" spans="1:13" x14ac:dyDescent="0.25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 x14ac:dyDescent="0.25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 x14ac:dyDescent="0.25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 x14ac:dyDescent="0.25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 x14ac:dyDescent="0.25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</row>
    <row r="5720" spans="1:13" x14ac:dyDescent="0.25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</row>
    <row r="5721" spans="1:13" x14ac:dyDescent="0.25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 x14ac:dyDescent="0.25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</row>
    <row r="5723" spans="1:13" x14ac:dyDescent="0.25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 x14ac:dyDescent="0.25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</row>
    <row r="5725" spans="1:13" x14ac:dyDescent="0.25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 x14ac:dyDescent="0.25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 x14ac:dyDescent="0.25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</row>
    <row r="5728" spans="1:13" x14ac:dyDescent="0.25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 x14ac:dyDescent="0.25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</row>
    <row r="5730" spans="1:13" x14ac:dyDescent="0.25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 x14ac:dyDescent="0.25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</row>
    <row r="5732" spans="1:13" x14ac:dyDescent="0.25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</row>
    <row r="5733" spans="1:13" x14ac:dyDescent="0.25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</row>
    <row r="5734" spans="1:13" x14ac:dyDescent="0.25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</row>
    <row r="5735" spans="1:13" x14ac:dyDescent="0.25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</row>
    <row r="5736" spans="1:13" x14ac:dyDescent="0.25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</row>
    <row r="5737" spans="1:13" x14ac:dyDescent="0.25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 x14ac:dyDescent="0.25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</row>
    <row r="5739" spans="1:13" x14ac:dyDescent="0.25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 x14ac:dyDescent="0.25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</row>
    <row r="5741" spans="1:13" x14ac:dyDescent="0.2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</row>
    <row r="5742" spans="1:13" x14ac:dyDescent="0.2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</row>
    <row r="5743" spans="1:13" x14ac:dyDescent="0.25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 x14ac:dyDescent="0.25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</row>
    <row r="5745" spans="1:13" x14ac:dyDescent="0.25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</row>
    <row r="5746" spans="1:13" x14ac:dyDescent="0.25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</row>
    <row r="5747" spans="1:13" x14ac:dyDescent="0.25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</row>
    <row r="5748" spans="1:13" x14ac:dyDescent="0.25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 x14ac:dyDescent="0.25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 x14ac:dyDescent="0.25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</row>
    <row r="5751" spans="1:13" x14ac:dyDescent="0.25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 x14ac:dyDescent="0.25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 x14ac:dyDescent="0.25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</row>
    <row r="5754" spans="1:13" x14ac:dyDescent="0.25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</row>
    <row r="5755" spans="1:13" x14ac:dyDescent="0.25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 x14ac:dyDescent="0.25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</row>
    <row r="5757" spans="1:13" x14ac:dyDescent="0.25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 x14ac:dyDescent="0.25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</row>
    <row r="5759" spans="1:13" x14ac:dyDescent="0.25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 x14ac:dyDescent="0.25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 x14ac:dyDescent="0.25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</row>
    <row r="5762" spans="1:13" x14ac:dyDescent="0.25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</row>
    <row r="5763" spans="1:13" x14ac:dyDescent="0.25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 x14ac:dyDescent="0.25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</row>
    <row r="5765" spans="1:13" x14ac:dyDescent="0.25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 x14ac:dyDescent="0.25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 x14ac:dyDescent="0.25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</row>
    <row r="5768" spans="1:13" x14ac:dyDescent="0.25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 x14ac:dyDescent="0.25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</row>
    <row r="5770" spans="1:13" x14ac:dyDescent="0.25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</row>
    <row r="5771" spans="1:13" x14ac:dyDescent="0.25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 x14ac:dyDescent="0.25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</row>
    <row r="5773" spans="1:13" x14ac:dyDescent="0.25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</row>
    <row r="5774" spans="1:13" x14ac:dyDescent="0.25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</row>
    <row r="5775" spans="1:13" x14ac:dyDescent="0.25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</row>
    <row r="5776" spans="1:13" x14ac:dyDescent="0.2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</row>
    <row r="5777" spans="1:13" x14ac:dyDescent="0.2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 x14ac:dyDescent="0.25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</row>
    <row r="5779" spans="1:13" x14ac:dyDescent="0.25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</row>
    <row r="5780" spans="1:13" x14ac:dyDescent="0.25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 x14ac:dyDescent="0.25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 x14ac:dyDescent="0.25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</row>
    <row r="5783" spans="1:13" x14ac:dyDescent="0.25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 x14ac:dyDescent="0.25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</row>
    <row r="5785" spans="1:13" x14ac:dyDescent="0.25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</row>
    <row r="5786" spans="1:13" x14ac:dyDescent="0.25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 x14ac:dyDescent="0.25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</row>
    <row r="5788" spans="1:13" x14ac:dyDescent="0.25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</row>
    <row r="5789" spans="1:13" x14ac:dyDescent="0.25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</row>
    <row r="5790" spans="1:13" x14ac:dyDescent="0.25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 x14ac:dyDescent="0.25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</row>
    <row r="5792" spans="1:13" x14ac:dyDescent="0.25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</row>
    <row r="5793" spans="1:13" x14ac:dyDescent="0.25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</row>
    <row r="5794" spans="1:13" x14ac:dyDescent="0.25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 x14ac:dyDescent="0.25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 x14ac:dyDescent="0.25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 x14ac:dyDescent="0.25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 x14ac:dyDescent="0.25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 x14ac:dyDescent="0.25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</row>
    <row r="5800" spans="1:13" x14ac:dyDescent="0.25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 x14ac:dyDescent="0.25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 x14ac:dyDescent="0.25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</row>
    <row r="5803" spans="1:13" x14ac:dyDescent="0.25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</row>
    <row r="5804" spans="1:13" x14ac:dyDescent="0.25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 x14ac:dyDescent="0.25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</row>
    <row r="5806" spans="1:13" x14ac:dyDescent="0.25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 x14ac:dyDescent="0.25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</row>
    <row r="5808" spans="1:13" x14ac:dyDescent="0.25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 x14ac:dyDescent="0.25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 x14ac:dyDescent="0.25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 x14ac:dyDescent="0.25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 x14ac:dyDescent="0.25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 x14ac:dyDescent="0.25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 x14ac:dyDescent="0.25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 x14ac:dyDescent="0.25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 x14ac:dyDescent="0.25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 x14ac:dyDescent="0.25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</row>
    <row r="5818" spans="1:13" x14ac:dyDescent="0.25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</row>
    <row r="5819" spans="1:13" x14ac:dyDescent="0.25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</row>
    <row r="5820" spans="1:13" x14ac:dyDescent="0.25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 x14ac:dyDescent="0.25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 x14ac:dyDescent="0.25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</row>
    <row r="5823" spans="1:13" x14ac:dyDescent="0.25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 x14ac:dyDescent="0.25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 x14ac:dyDescent="0.25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</row>
    <row r="5826" spans="1:13" x14ac:dyDescent="0.25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</row>
    <row r="5827" spans="1:13" x14ac:dyDescent="0.25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</row>
    <row r="5828" spans="1:13" x14ac:dyDescent="0.25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</row>
    <row r="5829" spans="1:13" x14ac:dyDescent="0.25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 x14ac:dyDescent="0.25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</row>
    <row r="5831" spans="1:13" x14ac:dyDescent="0.25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 x14ac:dyDescent="0.25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 x14ac:dyDescent="0.25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 x14ac:dyDescent="0.25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 x14ac:dyDescent="0.25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</row>
    <row r="5836" spans="1:13" x14ac:dyDescent="0.25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</row>
    <row r="5837" spans="1:13" x14ac:dyDescent="0.25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</row>
    <row r="5838" spans="1:13" x14ac:dyDescent="0.25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 x14ac:dyDescent="0.25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 x14ac:dyDescent="0.25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 x14ac:dyDescent="0.25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</row>
    <row r="5842" spans="1:13" x14ac:dyDescent="0.25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</row>
    <row r="5843" spans="1:13" x14ac:dyDescent="0.2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 x14ac:dyDescent="0.2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</row>
    <row r="5845" spans="1:13" x14ac:dyDescent="0.25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 x14ac:dyDescent="0.25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 x14ac:dyDescent="0.25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 x14ac:dyDescent="0.25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 x14ac:dyDescent="0.25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 x14ac:dyDescent="0.25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</row>
    <row r="5851" spans="1:13" x14ac:dyDescent="0.25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 x14ac:dyDescent="0.25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</row>
    <row r="5853" spans="1:13" x14ac:dyDescent="0.25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 x14ac:dyDescent="0.25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 x14ac:dyDescent="0.25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</row>
    <row r="5856" spans="1:13" x14ac:dyDescent="0.25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 x14ac:dyDescent="0.25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</row>
    <row r="5858" spans="1:13" x14ac:dyDescent="0.25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</row>
    <row r="5859" spans="1:13" x14ac:dyDescent="0.25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 x14ac:dyDescent="0.25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</row>
    <row r="5861" spans="1:13" x14ac:dyDescent="0.25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 x14ac:dyDescent="0.25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 x14ac:dyDescent="0.25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 x14ac:dyDescent="0.25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 x14ac:dyDescent="0.25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</row>
    <row r="5866" spans="1:13" x14ac:dyDescent="0.25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 x14ac:dyDescent="0.25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 x14ac:dyDescent="0.25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 x14ac:dyDescent="0.25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</row>
    <row r="5870" spans="1:13" x14ac:dyDescent="0.25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 x14ac:dyDescent="0.25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 x14ac:dyDescent="0.25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 x14ac:dyDescent="0.25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</row>
    <row r="5874" spans="1:13" x14ac:dyDescent="0.25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 x14ac:dyDescent="0.25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</row>
    <row r="5876" spans="1:13" x14ac:dyDescent="0.25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</row>
    <row r="5877" spans="1:13" x14ac:dyDescent="0.25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 x14ac:dyDescent="0.25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</row>
    <row r="5879" spans="1:13" x14ac:dyDescent="0.25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 x14ac:dyDescent="0.25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</row>
    <row r="5881" spans="1:13" x14ac:dyDescent="0.25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</row>
    <row r="5882" spans="1:13" x14ac:dyDescent="0.25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</row>
    <row r="5883" spans="1:13" x14ac:dyDescent="0.25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</row>
    <row r="5884" spans="1:13" x14ac:dyDescent="0.25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</row>
    <row r="5885" spans="1:13" x14ac:dyDescent="0.25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</row>
    <row r="5886" spans="1:13" x14ac:dyDescent="0.25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 x14ac:dyDescent="0.25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</row>
    <row r="5888" spans="1:13" x14ac:dyDescent="0.25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 x14ac:dyDescent="0.25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 x14ac:dyDescent="0.25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</row>
    <row r="5891" spans="1:13" x14ac:dyDescent="0.25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</row>
    <row r="5892" spans="1:13" x14ac:dyDescent="0.25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 x14ac:dyDescent="0.25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</row>
    <row r="5894" spans="1:13" x14ac:dyDescent="0.25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 x14ac:dyDescent="0.25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</row>
    <row r="5896" spans="1:13" x14ac:dyDescent="0.25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 x14ac:dyDescent="0.25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 x14ac:dyDescent="0.25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 x14ac:dyDescent="0.25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</row>
    <row r="5900" spans="1:13" x14ac:dyDescent="0.25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</row>
    <row r="5901" spans="1:13" x14ac:dyDescent="0.25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</row>
    <row r="5902" spans="1:13" x14ac:dyDescent="0.25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</row>
    <row r="5903" spans="1:13" x14ac:dyDescent="0.25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 x14ac:dyDescent="0.25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</row>
    <row r="5905" spans="1:13" x14ac:dyDescent="0.25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</row>
    <row r="5906" spans="1:13" x14ac:dyDescent="0.25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 x14ac:dyDescent="0.25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 x14ac:dyDescent="0.25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</row>
    <row r="5909" spans="1:13" x14ac:dyDescent="0.25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</row>
    <row r="5910" spans="1:13" x14ac:dyDescent="0.25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 x14ac:dyDescent="0.25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 x14ac:dyDescent="0.25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</row>
    <row r="5913" spans="1:13" x14ac:dyDescent="0.25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 x14ac:dyDescent="0.25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</row>
    <row r="5915" spans="1:13" x14ac:dyDescent="0.2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</row>
    <row r="5916" spans="1:13" x14ac:dyDescent="0.2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 x14ac:dyDescent="0.2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</row>
    <row r="5918" spans="1:13" x14ac:dyDescent="0.2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</row>
    <row r="5919" spans="1:13" x14ac:dyDescent="0.25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</row>
    <row r="5920" spans="1:13" x14ac:dyDescent="0.25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</row>
    <row r="5921" spans="1:13" x14ac:dyDescent="0.25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</row>
    <row r="5922" spans="1:13" x14ac:dyDescent="0.25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</row>
    <row r="5923" spans="1:13" x14ac:dyDescent="0.25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 x14ac:dyDescent="0.25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</row>
    <row r="5925" spans="1:13" x14ac:dyDescent="0.25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</row>
    <row r="5926" spans="1:13" x14ac:dyDescent="0.25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 x14ac:dyDescent="0.25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</row>
    <row r="5928" spans="1:13" x14ac:dyDescent="0.25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</row>
    <row r="5929" spans="1:13" x14ac:dyDescent="0.25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</row>
    <row r="5930" spans="1:13" x14ac:dyDescent="0.25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 x14ac:dyDescent="0.25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</row>
    <row r="5932" spans="1:13" x14ac:dyDescent="0.25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 x14ac:dyDescent="0.25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 x14ac:dyDescent="0.25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 x14ac:dyDescent="0.25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 x14ac:dyDescent="0.25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</row>
    <row r="5937" spans="1:13" x14ac:dyDescent="0.25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</row>
    <row r="5938" spans="1:13" x14ac:dyDescent="0.25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</row>
    <row r="5939" spans="1:13" x14ac:dyDescent="0.25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</row>
    <row r="5940" spans="1:13" x14ac:dyDescent="0.25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</row>
    <row r="5941" spans="1:13" x14ac:dyDescent="0.25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</row>
    <row r="5942" spans="1:13" x14ac:dyDescent="0.25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 x14ac:dyDescent="0.25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</row>
    <row r="5944" spans="1:13" x14ac:dyDescent="0.25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 x14ac:dyDescent="0.25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 x14ac:dyDescent="0.25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</row>
    <row r="5947" spans="1:13" x14ac:dyDescent="0.25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I5947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 x14ac:dyDescent="0.25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 x14ac:dyDescent="0.25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</row>
    <row r="5950" spans="1:13" x14ac:dyDescent="0.25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</row>
    <row r="5951" spans="1:13" x14ac:dyDescent="0.25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</row>
    <row r="5952" spans="1:13" x14ac:dyDescent="0.25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</row>
    <row r="5953" spans="1:13" x14ac:dyDescent="0.25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</row>
    <row r="5954" spans="1:13" x14ac:dyDescent="0.25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</row>
    <row r="5955" spans="1:13" x14ac:dyDescent="0.25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 x14ac:dyDescent="0.25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</row>
    <row r="5957" spans="1:13" x14ac:dyDescent="0.25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</row>
    <row r="5958" spans="1:13" x14ac:dyDescent="0.25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</row>
    <row r="5959" spans="1:13" x14ac:dyDescent="0.25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</row>
    <row r="5960" spans="1:13" x14ac:dyDescent="0.25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</row>
    <row r="5961" spans="1:13" x14ac:dyDescent="0.25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</row>
    <row r="5962" spans="1:13" x14ac:dyDescent="0.25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 x14ac:dyDescent="0.25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</row>
    <row r="5964" spans="1:13" x14ac:dyDescent="0.25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</row>
    <row r="5965" spans="1:13" x14ac:dyDescent="0.25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 x14ac:dyDescent="0.25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 x14ac:dyDescent="0.25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 x14ac:dyDescent="0.25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 x14ac:dyDescent="0.25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 x14ac:dyDescent="0.25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</row>
    <row r="5971" spans="1:13" x14ac:dyDescent="0.25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</row>
    <row r="5972" spans="1:13" x14ac:dyDescent="0.25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</row>
    <row r="5973" spans="1:13" x14ac:dyDescent="0.25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</row>
    <row r="5974" spans="1:13" x14ac:dyDescent="0.25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 x14ac:dyDescent="0.25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 x14ac:dyDescent="0.25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</row>
    <row r="5977" spans="1:13" x14ac:dyDescent="0.25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</row>
    <row r="5978" spans="1:13" x14ac:dyDescent="0.25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</row>
    <row r="5979" spans="1:13" x14ac:dyDescent="0.25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 x14ac:dyDescent="0.25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</row>
    <row r="5981" spans="1:13" x14ac:dyDescent="0.25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</row>
    <row r="5982" spans="1:13" x14ac:dyDescent="0.25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</row>
    <row r="5983" spans="1:13" x14ac:dyDescent="0.25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 x14ac:dyDescent="0.25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</row>
    <row r="5985" spans="1:13" x14ac:dyDescent="0.25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</row>
    <row r="5986" spans="1:13" x14ac:dyDescent="0.25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 x14ac:dyDescent="0.25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 x14ac:dyDescent="0.25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 x14ac:dyDescent="0.25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 x14ac:dyDescent="0.25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 x14ac:dyDescent="0.25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 x14ac:dyDescent="0.25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 x14ac:dyDescent="0.25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 x14ac:dyDescent="0.25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</row>
    <row r="5995" spans="1:13" x14ac:dyDescent="0.25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</row>
    <row r="5996" spans="1:13" x14ac:dyDescent="0.25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</row>
    <row r="5997" spans="1:13" x14ac:dyDescent="0.25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</row>
    <row r="5998" spans="1:13" x14ac:dyDescent="0.25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 x14ac:dyDescent="0.25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</row>
    <row r="6000" spans="1:13" x14ac:dyDescent="0.25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 x14ac:dyDescent="0.25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</row>
    <row r="6002" spans="1:13" x14ac:dyDescent="0.25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</row>
    <row r="6003" spans="1:13" x14ac:dyDescent="0.25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 x14ac:dyDescent="0.25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</row>
    <row r="6005" spans="1:13" x14ac:dyDescent="0.25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 x14ac:dyDescent="0.2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J6006">
        <v>2548.56</v>
      </c>
      <c r="K6006">
        <v>6</v>
      </c>
      <c r="L6006">
        <v>0.2</v>
      </c>
      <c r="M6006">
        <v>286.71300000000002</v>
      </c>
    </row>
    <row r="6007" spans="1:13" x14ac:dyDescent="0.25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 x14ac:dyDescent="0.25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J6008">
        <v>287.88</v>
      </c>
      <c r="K6008">
        <v>3</v>
      </c>
      <c r="L6008">
        <v>0.2</v>
      </c>
      <c r="M6008">
        <v>35.984999999999999</v>
      </c>
    </row>
    <row r="6009" spans="1:13" x14ac:dyDescent="0.25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</row>
    <row r="6010" spans="1:13" x14ac:dyDescent="0.25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 x14ac:dyDescent="0.25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 x14ac:dyDescent="0.25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 x14ac:dyDescent="0.25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 x14ac:dyDescent="0.25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</row>
    <row r="6015" spans="1:13" x14ac:dyDescent="0.25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 x14ac:dyDescent="0.25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 x14ac:dyDescent="0.25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 x14ac:dyDescent="0.25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</row>
    <row r="6019" spans="1:13" x14ac:dyDescent="0.25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</row>
    <row r="6020" spans="1:13" x14ac:dyDescent="0.25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 x14ac:dyDescent="0.25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 x14ac:dyDescent="0.25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</row>
    <row r="6023" spans="1:13" x14ac:dyDescent="0.25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</row>
    <row r="6024" spans="1:13" x14ac:dyDescent="0.25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</row>
    <row r="6025" spans="1:13" x14ac:dyDescent="0.25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</row>
    <row r="6026" spans="1:13" x14ac:dyDescent="0.25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</row>
    <row r="6027" spans="1:13" x14ac:dyDescent="0.25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</row>
    <row r="6028" spans="1:13" x14ac:dyDescent="0.25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 x14ac:dyDescent="0.25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</row>
    <row r="6030" spans="1:13" x14ac:dyDescent="0.25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 x14ac:dyDescent="0.25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</row>
    <row r="6032" spans="1:13" x14ac:dyDescent="0.25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</row>
    <row r="6033" spans="1:13" x14ac:dyDescent="0.25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</row>
    <row r="6034" spans="1:13" x14ac:dyDescent="0.25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 x14ac:dyDescent="0.25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</row>
    <row r="6036" spans="1:13" x14ac:dyDescent="0.25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</row>
    <row r="6037" spans="1:13" x14ac:dyDescent="0.25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</row>
    <row r="6038" spans="1:13" x14ac:dyDescent="0.25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 x14ac:dyDescent="0.25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 x14ac:dyDescent="0.25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 x14ac:dyDescent="0.25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 x14ac:dyDescent="0.25">
      <c r="A6042" t="s">
        <v>28</v>
      </c>
      <c r="B6042" t="s">
        <v>44</v>
      </c>
      <c r="C6042" t="s">
        <v>15</v>
      </c>
      <c r="D6042" t="s">
        <v>93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</row>
    <row r="6043" spans="1:13" x14ac:dyDescent="0.25">
      <c r="A6043" t="s">
        <v>28</v>
      </c>
      <c r="B6043" t="s">
        <v>22</v>
      </c>
      <c r="C6043" t="s">
        <v>15</v>
      </c>
      <c r="D6043" t="s">
        <v>180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</row>
    <row r="6044" spans="1:13" x14ac:dyDescent="0.25">
      <c r="A6044" t="s">
        <v>28</v>
      </c>
      <c r="B6044" t="s">
        <v>22</v>
      </c>
      <c r="C6044" t="s">
        <v>15</v>
      </c>
      <c r="D6044" t="s">
        <v>180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 x14ac:dyDescent="0.25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</row>
    <row r="6046" spans="1:13" x14ac:dyDescent="0.25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</row>
    <row r="6047" spans="1:13" x14ac:dyDescent="0.25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 x14ac:dyDescent="0.25"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</row>
    <row r="6049" spans="1:13" x14ac:dyDescent="0.25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</row>
    <row r="6050" spans="1:13" x14ac:dyDescent="0.25"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 x14ac:dyDescent="0.25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 x14ac:dyDescent="0.25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</row>
    <row r="6053" spans="1:13" x14ac:dyDescent="0.25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</row>
    <row r="6054" spans="1:13" x14ac:dyDescent="0.25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</row>
    <row r="6055" spans="1:13" x14ac:dyDescent="0.25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 x14ac:dyDescent="0.25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 x14ac:dyDescent="0.25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</row>
    <row r="6058" spans="1:13" x14ac:dyDescent="0.25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</row>
    <row r="6059" spans="1:13" x14ac:dyDescent="0.25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</row>
    <row r="6060" spans="1:13" x14ac:dyDescent="0.25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 x14ac:dyDescent="0.25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 x14ac:dyDescent="0.25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</row>
    <row r="6063" spans="1:13" x14ac:dyDescent="0.25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 x14ac:dyDescent="0.25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</row>
    <row r="6065" spans="1:13" x14ac:dyDescent="0.25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 x14ac:dyDescent="0.25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 x14ac:dyDescent="0.25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 x14ac:dyDescent="0.25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</row>
    <row r="6069" spans="1:13" x14ac:dyDescent="0.25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</row>
    <row r="6070" spans="1:13" x14ac:dyDescent="0.25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 x14ac:dyDescent="0.25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</row>
    <row r="6072" spans="1:13" x14ac:dyDescent="0.25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 x14ac:dyDescent="0.25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</row>
    <row r="6074" spans="1:13" x14ac:dyDescent="0.25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</row>
    <row r="6075" spans="1:13" x14ac:dyDescent="0.25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</row>
    <row r="6076" spans="1:13" x14ac:dyDescent="0.25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 x14ac:dyDescent="0.25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</row>
    <row r="6078" spans="1:13" x14ac:dyDescent="0.25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 x14ac:dyDescent="0.25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</row>
    <row r="6080" spans="1:13" x14ac:dyDescent="0.25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 x14ac:dyDescent="0.25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 x14ac:dyDescent="0.25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 x14ac:dyDescent="0.25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 x14ac:dyDescent="0.25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</row>
    <row r="6085" spans="1:13" x14ac:dyDescent="0.25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</row>
    <row r="6086" spans="1:13" x14ac:dyDescent="0.25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 x14ac:dyDescent="0.25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</row>
    <row r="6088" spans="1:13" x14ac:dyDescent="0.25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 x14ac:dyDescent="0.25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</row>
    <row r="6090" spans="1:13" x14ac:dyDescent="0.25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</row>
    <row r="6091" spans="1:13" x14ac:dyDescent="0.25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</row>
    <row r="6092" spans="1:13" x14ac:dyDescent="0.2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 x14ac:dyDescent="0.2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 x14ac:dyDescent="0.2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 x14ac:dyDescent="0.2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</row>
    <row r="6096" spans="1:13" x14ac:dyDescent="0.2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 x14ac:dyDescent="0.2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</row>
    <row r="6098" spans="1:13" x14ac:dyDescent="0.2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 x14ac:dyDescent="0.2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</row>
    <row r="6100" spans="1:13" x14ac:dyDescent="0.25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 x14ac:dyDescent="0.25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</row>
    <row r="6102" spans="1:13" x14ac:dyDescent="0.25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 x14ac:dyDescent="0.25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 x14ac:dyDescent="0.25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 x14ac:dyDescent="0.25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 x14ac:dyDescent="0.25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</row>
    <row r="6107" spans="1:13" x14ac:dyDescent="0.25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</row>
    <row r="6108" spans="1:13" x14ac:dyDescent="0.25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 x14ac:dyDescent="0.25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</row>
    <row r="6110" spans="1:13" x14ac:dyDescent="0.25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</row>
    <row r="6111" spans="1:13" x14ac:dyDescent="0.25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</row>
    <row r="6112" spans="1:13" x14ac:dyDescent="0.25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</row>
    <row r="6113" spans="1:13" x14ac:dyDescent="0.25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 x14ac:dyDescent="0.25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</row>
    <row r="6115" spans="1:13" x14ac:dyDescent="0.25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 x14ac:dyDescent="0.25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 x14ac:dyDescent="0.25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</row>
    <row r="6118" spans="1:13" x14ac:dyDescent="0.25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 x14ac:dyDescent="0.25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</row>
    <row r="6120" spans="1:13" x14ac:dyDescent="0.25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</row>
    <row r="6121" spans="1:13" x14ac:dyDescent="0.25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</row>
    <row r="6122" spans="1:13" x14ac:dyDescent="0.25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 x14ac:dyDescent="0.25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 x14ac:dyDescent="0.25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 x14ac:dyDescent="0.25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</row>
    <row r="6126" spans="1:13" x14ac:dyDescent="0.25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</row>
    <row r="6127" spans="1:13" x14ac:dyDescent="0.25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</row>
    <row r="6128" spans="1:13" x14ac:dyDescent="0.25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</row>
    <row r="6129" spans="1:13" x14ac:dyDescent="0.25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 x14ac:dyDescent="0.25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</row>
    <row r="6131" spans="1:13" x14ac:dyDescent="0.25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 x14ac:dyDescent="0.25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 x14ac:dyDescent="0.25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 x14ac:dyDescent="0.25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</row>
    <row r="6135" spans="1:13" x14ac:dyDescent="0.25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</row>
    <row r="6136" spans="1:13" x14ac:dyDescent="0.25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</row>
    <row r="6137" spans="1:13" x14ac:dyDescent="0.25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</row>
    <row r="6138" spans="1:13" x14ac:dyDescent="0.25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 x14ac:dyDescent="0.25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</row>
    <row r="6140" spans="1:13" x14ac:dyDescent="0.25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</row>
    <row r="6141" spans="1:13" x14ac:dyDescent="0.25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</row>
    <row r="6142" spans="1:13" x14ac:dyDescent="0.25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</row>
    <row r="6143" spans="1:13" x14ac:dyDescent="0.25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 x14ac:dyDescent="0.25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 x14ac:dyDescent="0.25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</row>
    <row r="6146" spans="1:13" x14ac:dyDescent="0.25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</row>
    <row r="6147" spans="1:13" x14ac:dyDescent="0.25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</row>
    <row r="6148" spans="1:13" x14ac:dyDescent="0.25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 x14ac:dyDescent="0.25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 x14ac:dyDescent="0.25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 x14ac:dyDescent="0.25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 x14ac:dyDescent="0.25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 x14ac:dyDescent="0.25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 x14ac:dyDescent="0.2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 x14ac:dyDescent="0.25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</row>
    <row r="6156" spans="1:13" x14ac:dyDescent="0.25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 x14ac:dyDescent="0.25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 x14ac:dyDescent="0.25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</row>
    <row r="6159" spans="1:13" x14ac:dyDescent="0.25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 x14ac:dyDescent="0.25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 x14ac:dyDescent="0.25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 x14ac:dyDescent="0.25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</row>
    <row r="6163" spans="1:13" x14ac:dyDescent="0.25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</row>
    <row r="6164" spans="1:13" x14ac:dyDescent="0.25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</row>
    <row r="6165" spans="1:13" x14ac:dyDescent="0.25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</row>
    <row r="6166" spans="1:13" x14ac:dyDescent="0.25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</row>
    <row r="6167" spans="1:13" x14ac:dyDescent="0.25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</row>
    <row r="6168" spans="1:13" x14ac:dyDescent="0.25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</row>
    <row r="6169" spans="1:13" x14ac:dyDescent="0.25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</row>
    <row r="6170" spans="1:13" x14ac:dyDescent="0.25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 x14ac:dyDescent="0.25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 x14ac:dyDescent="0.25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</row>
    <row r="6173" spans="1:13" x14ac:dyDescent="0.25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</row>
    <row r="6174" spans="1:13" x14ac:dyDescent="0.25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</row>
    <row r="6175" spans="1:13" x14ac:dyDescent="0.25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</row>
    <row r="6176" spans="1:13" x14ac:dyDescent="0.25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</row>
    <row r="6177" spans="1:13" x14ac:dyDescent="0.2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</row>
    <row r="6178" spans="1:13" x14ac:dyDescent="0.2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</row>
    <row r="6179" spans="1:13" x14ac:dyDescent="0.25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</row>
    <row r="6180" spans="1:13" x14ac:dyDescent="0.25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 x14ac:dyDescent="0.25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</row>
    <row r="6182" spans="1:13" x14ac:dyDescent="0.25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</row>
    <row r="6183" spans="1:13" x14ac:dyDescent="0.25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</row>
    <row r="6184" spans="1:13" x14ac:dyDescent="0.25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 x14ac:dyDescent="0.25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</row>
    <row r="6186" spans="1:13" x14ac:dyDescent="0.25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</row>
    <row r="6187" spans="1:13" x14ac:dyDescent="0.25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</row>
    <row r="6188" spans="1:13" x14ac:dyDescent="0.25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</row>
    <row r="6189" spans="1:13" x14ac:dyDescent="0.25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 x14ac:dyDescent="0.25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</row>
    <row r="6191" spans="1:13" x14ac:dyDescent="0.25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 x14ac:dyDescent="0.25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 x14ac:dyDescent="0.25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 x14ac:dyDescent="0.25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</row>
    <row r="6195" spans="1:13" x14ac:dyDescent="0.25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 x14ac:dyDescent="0.25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</row>
    <row r="6197" spans="1:13" x14ac:dyDescent="0.25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 x14ac:dyDescent="0.25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</row>
    <row r="6199" spans="1:13" x14ac:dyDescent="0.25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 x14ac:dyDescent="0.25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 x14ac:dyDescent="0.25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</row>
    <row r="6202" spans="1:13" x14ac:dyDescent="0.25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 x14ac:dyDescent="0.25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 x14ac:dyDescent="0.25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 x14ac:dyDescent="0.25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</row>
    <row r="6206" spans="1:13" x14ac:dyDescent="0.25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</row>
    <row r="6207" spans="1:13" x14ac:dyDescent="0.25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 x14ac:dyDescent="0.25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 x14ac:dyDescent="0.25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</row>
    <row r="6210" spans="1:13" x14ac:dyDescent="0.25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</row>
    <row r="6211" spans="1:13" x14ac:dyDescent="0.25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</row>
    <row r="6212" spans="1:13" x14ac:dyDescent="0.25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</row>
    <row r="6213" spans="1:13" x14ac:dyDescent="0.25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</row>
    <row r="6214" spans="1:13" x14ac:dyDescent="0.25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</row>
    <row r="6215" spans="1:13" x14ac:dyDescent="0.25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</row>
    <row r="6216" spans="1:13" x14ac:dyDescent="0.25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 x14ac:dyDescent="0.25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 x14ac:dyDescent="0.25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 x14ac:dyDescent="0.25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</row>
    <row r="6220" spans="1:13" x14ac:dyDescent="0.25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 x14ac:dyDescent="0.25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 x14ac:dyDescent="0.25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</row>
    <row r="6223" spans="1:13" x14ac:dyDescent="0.25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</row>
    <row r="6224" spans="1:13" x14ac:dyDescent="0.25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 x14ac:dyDescent="0.25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 x14ac:dyDescent="0.25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 x14ac:dyDescent="0.25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 x14ac:dyDescent="0.25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</row>
    <row r="6229" spans="1:13" x14ac:dyDescent="0.25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</row>
    <row r="6230" spans="1:13" x14ac:dyDescent="0.25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</row>
    <row r="6231" spans="1:13" x14ac:dyDescent="0.25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 x14ac:dyDescent="0.25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 x14ac:dyDescent="0.25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 x14ac:dyDescent="0.25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</row>
    <row r="6235" spans="1:13" x14ac:dyDescent="0.25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</row>
    <row r="6236" spans="1:13" x14ac:dyDescent="0.25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 x14ac:dyDescent="0.25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 x14ac:dyDescent="0.25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</row>
    <row r="6239" spans="1:13" x14ac:dyDescent="0.25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</row>
    <row r="6240" spans="1:13" x14ac:dyDescent="0.25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</row>
    <row r="6241" spans="1:13" x14ac:dyDescent="0.25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</row>
    <row r="6242" spans="1:13" x14ac:dyDescent="0.25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</row>
    <row r="6243" spans="1:13" x14ac:dyDescent="0.25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</row>
    <row r="6244" spans="1:13" x14ac:dyDescent="0.25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</row>
    <row r="6245" spans="1:13" x14ac:dyDescent="0.25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</row>
    <row r="6246" spans="1:13" x14ac:dyDescent="0.25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 x14ac:dyDescent="0.25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</row>
    <row r="6248" spans="1:13" x14ac:dyDescent="0.25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 x14ac:dyDescent="0.25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</row>
    <row r="6250" spans="1:13" x14ac:dyDescent="0.25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 x14ac:dyDescent="0.25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</row>
    <row r="6252" spans="1:13" x14ac:dyDescent="0.25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 x14ac:dyDescent="0.25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 x14ac:dyDescent="0.25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</row>
    <row r="6255" spans="1:13" x14ac:dyDescent="0.25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 x14ac:dyDescent="0.25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 x14ac:dyDescent="0.25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 x14ac:dyDescent="0.25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</row>
    <row r="6259" spans="1:13" x14ac:dyDescent="0.25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</row>
    <row r="6260" spans="1:13" x14ac:dyDescent="0.25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 x14ac:dyDescent="0.25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 x14ac:dyDescent="0.25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</row>
    <row r="6263" spans="1:13" x14ac:dyDescent="0.25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 x14ac:dyDescent="0.25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 x14ac:dyDescent="0.25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</row>
    <row r="6266" spans="1:13" x14ac:dyDescent="0.25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</row>
    <row r="6267" spans="1:13" x14ac:dyDescent="0.25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 x14ac:dyDescent="0.25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</row>
    <row r="6269" spans="1:13" x14ac:dyDescent="0.25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</row>
    <row r="6270" spans="1:13" x14ac:dyDescent="0.25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</row>
    <row r="6271" spans="1:13" x14ac:dyDescent="0.25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 x14ac:dyDescent="0.25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</row>
    <row r="6273" spans="1:13" x14ac:dyDescent="0.25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 x14ac:dyDescent="0.25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 x14ac:dyDescent="0.25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 x14ac:dyDescent="0.25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 x14ac:dyDescent="0.25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</row>
    <row r="6278" spans="1:13" x14ac:dyDescent="0.25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</row>
    <row r="6279" spans="1:13" x14ac:dyDescent="0.25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</row>
    <row r="6280" spans="1:13" x14ac:dyDescent="0.25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 x14ac:dyDescent="0.25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</row>
    <row r="6282" spans="1:13" x14ac:dyDescent="0.25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</row>
    <row r="6283" spans="1:13" x14ac:dyDescent="0.25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 x14ac:dyDescent="0.25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</row>
    <row r="6285" spans="1:13" x14ac:dyDescent="0.25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</row>
    <row r="6286" spans="1:13" x14ac:dyDescent="0.25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</row>
    <row r="6287" spans="1:13" x14ac:dyDescent="0.25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</row>
    <row r="6288" spans="1:13" x14ac:dyDescent="0.25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</row>
    <row r="6289" spans="1:13" x14ac:dyDescent="0.25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</row>
    <row r="6290" spans="1:13" x14ac:dyDescent="0.25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</row>
    <row r="6291" spans="1:13" x14ac:dyDescent="0.25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 x14ac:dyDescent="0.25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</row>
    <row r="6293" spans="1:13" x14ac:dyDescent="0.25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 x14ac:dyDescent="0.25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</row>
    <row r="6295" spans="1:13" x14ac:dyDescent="0.25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 x14ac:dyDescent="0.25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</row>
    <row r="6297" spans="1:13" x14ac:dyDescent="0.25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 x14ac:dyDescent="0.25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 x14ac:dyDescent="0.25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</row>
    <row r="6300" spans="1:13" x14ac:dyDescent="0.25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</row>
    <row r="6301" spans="1:13" x14ac:dyDescent="0.25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</row>
    <row r="6302" spans="1:13" x14ac:dyDescent="0.25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 x14ac:dyDescent="0.25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 x14ac:dyDescent="0.25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 x14ac:dyDescent="0.25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</row>
    <row r="6306" spans="1:13" x14ac:dyDescent="0.25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 x14ac:dyDescent="0.25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</row>
    <row r="6308" spans="1:13" x14ac:dyDescent="0.25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</row>
    <row r="6309" spans="1:13" x14ac:dyDescent="0.25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 x14ac:dyDescent="0.25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 x14ac:dyDescent="0.25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</row>
    <row r="6312" spans="1:13" x14ac:dyDescent="0.25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</row>
    <row r="6313" spans="1:13" x14ac:dyDescent="0.25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</row>
    <row r="6314" spans="1:13" x14ac:dyDescent="0.25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 x14ac:dyDescent="0.25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 x14ac:dyDescent="0.25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 x14ac:dyDescent="0.25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</row>
    <row r="6318" spans="1:13" x14ac:dyDescent="0.25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 x14ac:dyDescent="0.25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</row>
    <row r="6320" spans="1:13" x14ac:dyDescent="0.25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 x14ac:dyDescent="0.25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</row>
    <row r="6322" spans="1:13" x14ac:dyDescent="0.25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</row>
    <row r="6323" spans="1:13" x14ac:dyDescent="0.25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 x14ac:dyDescent="0.25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 x14ac:dyDescent="0.25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</row>
    <row r="6326" spans="1:13" x14ac:dyDescent="0.25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</row>
    <row r="6327" spans="1:13" x14ac:dyDescent="0.25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 x14ac:dyDescent="0.2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</row>
    <row r="6329" spans="1:13" x14ac:dyDescent="0.25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</row>
    <row r="6330" spans="1:13" x14ac:dyDescent="0.25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</row>
    <row r="6331" spans="1:13" x14ac:dyDescent="0.25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</row>
    <row r="6332" spans="1:13" x14ac:dyDescent="0.25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</row>
    <row r="6333" spans="1:13" x14ac:dyDescent="0.25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</row>
    <row r="6334" spans="1:13" x14ac:dyDescent="0.25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</row>
    <row r="6335" spans="1:13" x14ac:dyDescent="0.25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</row>
    <row r="6336" spans="1:13" x14ac:dyDescent="0.25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</row>
    <row r="6337" spans="1:13" x14ac:dyDescent="0.25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 x14ac:dyDescent="0.25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</row>
    <row r="6339" spans="1:13" x14ac:dyDescent="0.25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</row>
    <row r="6340" spans="1:13" x14ac:dyDescent="0.25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 x14ac:dyDescent="0.25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</row>
    <row r="6342" spans="1:13" x14ac:dyDescent="0.25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 x14ac:dyDescent="0.25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</row>
    <row r="6344" spans="1:13" x14ac:dyDescent="0.25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 x14ac:dyDescent="0.25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 x14ac:dyDescent="0.25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 x14ac:dyDescent="0.25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</row>
    <row r="6348" spans="1:13" x14ac:dyDescent="0.25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</row>
    <row r="6349" spans="1:13" x14ac:dyDescent="0.25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 x14ac:dyDescent="0.25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</row>
    <row r="6351" spans="1:13" x14ac:dyDescent="0.25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</row>
    <row r="6352" spans="1:13" x14ac:dyDescent="0.25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 x14ac:dyDescent="0.25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</row>
    <row r="6354" spans="1:13" x14ac:dyDescent="0.25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 x14ac:dyDescent="0.25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</row>
    <row r="6356" spans="1:13" x14ac:dyDescent="0.25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 x14ac:dyDescent="0.25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</row>
    <row r="6358" spans="1:13" x14ac:dyDescent="0.25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 x14ac:dyDescent="0.25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</row>
    <row r="6360" spans="1:13" x14ac:dyDescent="0.25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</row>
    <row r="6361" spans="1:13" x14ac:dyDescent="0.25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 x14ac:dyDescent="0.25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 x14ac:dyDescent="0.25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</row>
    <row r="6364" spans="1:13" x14ac:dyDescent="0.25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</row>
    <row r="6365" spans="1:13" x14ac:dyDescent="0.25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</row>
    <row r="6366" spans="1:13" x14ac:dyDescent="0.25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</row>
    <row r="6367" spans="1:13" x14ac:dyDescent="0.25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 x14ac:dyDescent="0.25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</row>
    <row r="6369" spans="1:13" x14ac:dyDescent="0.25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 x14ac:dyDescent="0.25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</row>
    <row r="6371" spans="1:13" x14ac:dyDescent="0.25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</row>
    <row r="6372" spans="1:13" x14ac:dyDescent="0.25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 x14ac:dyDescent="0.25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</row>
    <row r="6374" spans="1:13" x14ac:dyDescent="0.25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 x14ac:dyDescent="0.25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 x14ac:dyDescent="0.25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</row>
    <row r="6377" spans="1:13" x14ac:dyDescent="0.25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 x14ac:dyDescent="0.25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 x14ac:dyDescent="0.25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 x14ac:dyDescent="0.25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</row>
    <row r="6381" spans="1:13" x14ac:dyDescent="0.25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</row>
    <row r="6382" spans="1:13" x14ac:dyDescent="0.25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</row>
    <row r="6383" spans="1:13" x14ac:dyDescent="0.25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</row>
    <row r="6384" spans="1:13" x14ac:dyDescent="0.25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</row>
    <row r="6385" spans="1:13" x14ac:dyDescent="0.25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 x14ac:dyDescent="0.25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 x14ac:dyDescent="0.25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 x14ac:dyDescent="0.25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 x14ac:dyDescent="0.25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</row>
    <row r="6390" spans="1:13" x14ac:dyDescent="0.25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 x14ac:dyDescent="0.25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</row>
    <row r="6392" spans="1:13" x14ac:dyDescent="0.25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 x14ac:dyDescent="0.25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</row>
    <row r="6394" spans="1:13" x14ac:dyDescent="0.25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</row>
    <row r="6395" spans="1:13" x14ac:dyDescent="0.25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</row>
    <row r="6396" spans="1:13" x14ac:dyDescent="0.25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</row>
    <row r="6397" spans="1:13" x14ac:dyDescent="0.25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 x14ac:dyDescent="0.25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 x14ac:dyDescent="0.25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 x14ac:dyDescent="0.25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 x14ac:dyDescent="0.25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</row>
    <row r="6402" spans="1:13" x14ac:dyDescent="0.25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 x14ac:dyDescent="0.25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</row>
    <row r="6404" spans="1:13" x14ac:dyDescent="0.25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</row>
    <row r="6405" spans="1:13" x14ac:dyDescent="0.25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</row>
    <row r="6406" spans="1:13" x14ac:dyDescent="0.25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</row>
    <row r="6407" spans="1:13" x14ac:dyDescent="0.25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 x14ac:dyDescent="0.25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</row>
    <row r="6409" spans="1:13" x14ac:dyDescent="0.25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 x14ac:dyDescent="0.25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 x14ac:dyDescent="0.25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</row>
    <row r="6412" spans="1:13" x14ac:dyDescent="0.25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</row>
    <row r="6413" spans="1:13" x14ac:dyDescent="0.25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</row>
    <row r="6414" spans="1:13" x14ac:dyDescent="0.25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</row>
    <row r="6415" spans="1:13" x14ac:dyDescent="0.25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</row>
    <row r="6416" spans="1:13" x14ac:dyDescent="0.25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 x14ac:dyDescent="0.25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 x14ac:dyDescent="0.2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 x14ac:dyDescent="0.2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 x14ac:dyDescent="0.25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 x14ac:dyDescent="0.25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 x14ac:dyDescent="0.25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 x14ac:dyDescent="0.25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 x14ac:dyDescent="0.25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</row>
    <row r="6425" spans="1:13" x14ac:dyDescent="0.25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 x14ac:dyDescent="0.25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</row>
    <row r="6427" spans="1:13" x14ac:dyDescent="0.25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</row>
    <row r="6428" spans="1:13" x14ac:dyDescent="0.25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</row>
    <row r="6429" spans="1:13" x14ac:dyDescent="0.25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</row>
    <row r="6430" spans="1:13" x14ac:dyDescent="0.25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</row>
    <row r="6431" spans="1:13" x14ac:dyDescent="0.25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 x14ac:dyDescent="0.25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</row>
    <row r="6433" spans="1:13" x14ac:dyDescent="0.25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 x14ac:dyDescent="0.25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</row>
    <row r="6435" spans="1:13" x14ac:dyDescent="0.25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</row>
    <row r="6436" spans="1:13" x14ac:dyDescent="0.25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 x14ac:dyDescent="0.25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</row>
    <row r="6438" spans="1:13" x14ac:dyDescent="0.25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 x14ac:dyDescent="0.25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 x14ac:dyDescent="0.25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 x14ac:dyDescent="0.25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 x14ac:dyDescent="0.25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</row>
    <row r="6443" spans="1:13" x14ac:dyDescent="0.25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</row>
    <row r="6444" spans="1:13" x14ac:dyDescent="0.25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</row>
    <row r="6445" spans="1:13" x14ac:dyDescent="0.25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</row>
    <row r="6446" spans="1:13" x14ac:dyDescent="0.25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</row>
    <row r="6447" spans="1:13" x14ac:dyDescent="0.25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 x14ac:dyDescent="0.25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</row>
    <row r="6449" spans="1:13" x14ac:dyDescent="0.25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</row>
    <row r="6450" spans="1:13" x14ac:dyDescent="0.25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</row>
    <row r="6451" spans="1:13" x14ac:dyDescent="0.25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 x14ac:dyDescent="0.25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</row>
    <row r="6453" spans="1:13" x14ac:dyDescent="0.25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 x14ac:dyDescent="0.25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</row>
    <row r="6455" spans="1:13" x14ac:dyDescent="0.25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</row>
    <row r="6456" spans="1:13" x14ac:dyDescent="0.25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 x14ac:dyDescent="0.25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</row>
    <row r="6458" spans="1:13" x14ac:dyDescent="0.25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</row>
    <row r="6459" spans="1:13" x14ac:dyDescent="0.25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 x14ac:dyDescent="0.25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</row>
    <row r="6461" spans="1:13" x14ac:dyDescent="0.25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</row>
    <row r="6462" spans="1:13" x14ac:dyDescent="0.25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</row>
    <row r="6463" spans="1:13" x14ac:dyDescent="0.25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 x14ac:dyDescent="0.25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 x14ac:dyDescent="0.25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 x14ac:dyDescent="0.25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 x14ac:dyDescent="0.25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</row>
    <row r="6468" spans="1:13" x14ac:dyDescent="0.25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 x14ac:dyDescent="0.25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</row>
    <row r="6470" spans="1:13" x14ac:dyDescent="0.25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</row>
    <row r="6471" spans="1:13" x14ac:dyDescent="0.25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 x14ac:dyDescent="0.25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</row>
    <row r="6473" spans="1:13" x14ac:dyDescent="0.25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 x14ac:dyDescent="0.25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</row>
    <row r="6475" spans="1:13" x14ac:dyDescent="0.25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</row>
    <row r="6476" spans="1:13" x14ac:dyDescent="0.25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 x14ac:dyDescent="0.25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</row>
    <row r="6478" spans="1:13" x14ac:dyDescent="0.25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</row>
    <row r="6479" spans="1:13" x14ac:dyDescent="0.25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</row>
    <row r="6480" spans="1:13" x14ac:dyDescent="0.25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</row>
    <row r="6481" spans="1:13" x14ac:dyDescent="0.25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 x14ac:dyDescent="0.25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</row>
    <row r="6483" spans="1:13" x14ac:dyDescent="0.25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 x14ac:dyDescent="0.25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</row>
    <row r="6485" spans="1:13" x14ac:dyDescent="0.25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</row>
    <row r="6486" spans="1:13" x14ac:dyDescent="0.25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</row>
    <row r="6487" spans="1:13" x14ac:dyDescent="0.25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</row>
    <row r="6488" spans="1:13" x14ac:dyDescent="0.25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 x14ac:dyDescent="0.25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 x14ac:dyDescent="0.25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</row>
    <row r="6491" spans="1:13" x14ac:dyDescent="0.25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</row>
    <row r="6492" spans="1:13" x14ac:dyDescent="0.25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</row>
    <row r="6493" spans="1:13" x14ac:dyDescent="0.25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</row>
    <row r="6494" spans="1:13" x14ac:dyDescent="0.25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</row>
    <row r="6495" spans="1:13" x14ac:dyDescent="0.25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</row>
    <row r="6496" spans="1:13" x14ac:dyDescent="0.25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</row>
    <row r="6497" spans="1:13" x14ac:dyDescent="0.25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 x14ac:dyDescent="0.25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 x14ac:dyDescent="0.25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</row>
    <row r="6500" spans="1:13" x14ac:dyDescent="0.25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 x14ac:dyDescent="0.25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 x14ac:dyDescent="0.25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 x14ac:dyDescent="0.25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 x14ac:dyDescent="0.25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</row>
    <row r="6505" spans="1:13" x14ac:dyDescent="0.25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 x14ac:dyDescent="0.25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</row>
    <row r="6507" spans="1:13" x14ac:dyDescent="0.25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</row>
    <row r="6508" spans="1:13" x14ac:dyDescent="0.25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</row>
    <row r="6509" spans="1:13" x14ac:dyDescent="0.25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 x14ac:dyDescent="0.25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</row>
    <row r="6511" spans="1:13" x14ac:dyDescent="0.25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</row>
    <row r="6512" spans="1:13" x14ac:dyDescent="0.25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</row>
    <row r="6513" spans="1:13" x14ac:dyDescent="0.25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</row>
    <row r="6514" spans="1:13" x14ac:dyDescent="0.25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</row>
    <row r="6515" spans="1:13" x14ac:dyDescent="0.25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 x14ac:dyDescent="0.25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 x14ac:dyDescent="0.25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</row>
    <row r="6518" spans="1:13" x14ac:dyDescent="0.25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 x14ac:dyDescent="0.25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 x14ac:dyDescent="0.25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</row>
    <row r="6521" spans="1:13" x14ac:dyDescent="0.25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</row>
    <row r="6522" spans="1:13" x14ac:dyDescent="0.25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 x14ac:dyDescent="0.25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 x14ac:dyDescent="0.25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</row>
    <row r="6525" spans="1:13" x14ac:dyDescent="0.25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</row>
    <row r="6526" spans="1:13" x14ac:dyDescent="0.25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 x14ac:dyDescent="0.25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 x14ac:dyDescent="0.25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</row>
    <row r="6529" spans="1:13" x14ac:dyDescent="0.25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 x14ac:dyDescent="0.25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 x14ac:dyDescent="0.25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</row>
    <row r="6532" spans="1:13" x14ac:dyDescent="0.25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 x14ac:dyDescent="0.25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 x14ac:dyDescent="0.25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</row>
    <row r="6535" spans="1:13" x14ac:dyDescent="0.25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 x14ac:dyDescent="0.25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</row>
    <row r="6537" spans="1:13" x14ac:dyDescent="0.25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</row>
    <row r="6538" spans="1:13" x14ac:dyDescent="0.25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 x14ac:dyDescent="0.25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 x14ac:dyDescent="0.25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</row>
    <row r="6541" spans="1:13" x14ac:dyDescent="0.25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 x14ac:dyDescent="0.25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 x14ac:dyDescent="0.25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 x14ac:dyDescent="0.25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</row>
    <row r="6545" spans="1:13" x14ac:dyDescent="0.25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</row>
    <row r="6546" spans="1:13" x14ac:dyDescent="0.25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 x14ac:dyDescent="0.25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 x14ac:dyDescent="0.25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</row>
    <row r="6549" spans="1:13" x14ac:dyDescent="0.25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 x14ac:dyDescent="0.25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 x14ac:dyDescent="0.25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 x14ac:dyDescent="0.25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</row>
    <row r="6553" spans="1:13" x14ac:dyDescent="0.25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 x14ac:dyDescent="0.25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 x14ac:dyDescent="0.25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</row>
    <row r="6556" spans="1:13" x14ac:dyDescent="0.25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 x14ac:dyDescent="0.25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</row>
    <row r="6558" spans="1:13" x14ac:dyDescent="0.25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</row>
    <row r="6559" spans="1:13" x14ac:dyDescent="0.25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 x14ac:dyDescent="0.25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</row>
    <row r="6561" spans="1:13" x14ac:dyDescent="0.25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</row>
    <row r="6562" spans="1:13" x14ac:dyDescent="0.25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 x14ac:dyDescent="0.25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</row>
    <row r="6564" spans="1:13" x14ac:dyDescent="0.25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 x14ac:dyDescent="0.25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</row>
    <row r="6566" spans="1:13" x14ac:dyDescent="0.25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</row>
    <row r="6567" spans="1:13" x14ac:dyDescent="0.25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 x14ac:dyDescent="0.25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</row>
    <row r="6569" spans="1:13" x14ac:dyDescent="0.25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 x14ac:dyDescent="0.25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</row>
    <row r="6571" spans="1:13" x14ac:dyDescent="0.25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</row>
    <row r="6572" spans="1:13" x14ac:dyDescent="0.25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</row>
    <row r="6573" spans="1:13" x14ac:dyDescent="0.25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</row>
    <row r="6574" spans="1:13" x14ac:dyDescent="0.25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</row>
    <row r="6575" spans="1:13" x14ac:dyDescent="0.25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</row>
    <row r="6576" spans="1:13" x14ac:dyDescent="0.25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 x14ac:dyDescent="0.25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 x14ac:dyDescent="0.25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 x14ac:dyDescent="0.25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</row>
    <row r="6580" spans="1:13" x14ac:dyDescent="0.25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</row>
    <row r="6581" spans="1:13" x14ac:dyDescent="0.25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</row>
    <row r="6582" spans="1:13" x14ac:dyDescent="0.25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 x14ac:dyDescent="0.25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 x14ac:dyDescent="0.25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</row>
    <row r="6585" spans="1:13" x14ac:dyDescent="0.25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</row>
    <row r="6586" spans="1:13" x14ac:dyDescent="0.25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 x14ac:dyDescent="0.25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</row>
    <row r="6588" spans="1:13" x14ac:dyDescent="0.25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 x14ac:dyDescent="0.25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 x14ac:dyDescent="0.25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 x14ac:dyDescent="0.25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 x14ac:dyDescent="0.25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</row>
    <row r="6593" spans="1:13" x14ac:dyDescent="0.25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 x14ac:dyDescent="0.25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</row>
    <row r="6595" spans="1:13" x14ac:dyDescent="0.25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 x14ac:dyDescent="0.25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</row>
    <row r="6597" spans="1:13" x14ac:dyDescent="0.25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</row>
    <row r="6598" spans="1:13" x14ac:dyDescent="0.25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 x14ac:dyDescent="0.25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 x14ac:dyDescent="0.25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</row>
    <row r="6601" spans="1:13" x14ac:dyDescent="0.25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</row>
    <row r="6602" spans="1:13" x14ac:dyDescent="0.25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 x14ac:dyDescent="0.25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</row>
    <row r="6604" spans="1:13" x14ac:dyDescent="0.25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 x14ac:dyDescent="0.25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</row>
    <row r="6606" spans="1:13" x14ac:dyDescent="0.25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</row>
    <row r="6607" spans="1:13" x14ac:dyDescent="0.25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</row>
    <row r="6608" spans="1:13" x14ac:dyDescent="0.25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</row>
    <row r="6609" spans="1:13" x14ac:dyDescent="0.25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 x14ac:dyDescent="0.25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 x14ac:dyDescent="0.25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 x14ac:dyDescent="0.25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</row>
    <row r="6613" spans="1:13" x14ac:dyDescent="0.25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</row>
    <row r="6614" spans="1:13" x14ac:dyDescent="0.25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</row>
    <row r="6615" spans="1:13" x14ac:dyDescent="0.25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</row>
    <row r="6616" spans="1:13" x14ac:dyDescent="0.25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 x14ac:dyDescent="0.25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 x14ac:dyDescent="0.25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</row>
    <row r="6619" spans="1:13" x14ac:dyDescent="0.25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 x14ac:dyDescent="0.25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</row>
    <row r="6621" spans="1:13" x14ac:dyDescent="0.25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</row>
    <row r="6622" spans="1:13" x14ac:dyDescent="0.25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</row>
    <row r="6623" spans="1:13" x14ac:dyDescent="0.25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 x14ac:dyDescent="0.25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 x14ac:dyDescent="0.25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 x14ac:dyDescent="0.25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</row>
    <row r="6627" spans="1:13" x14ac:dyDescent="0.25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 x14ac:dyDescent="0.25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 x14ac:dyDescent="0.25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 x14ac:dyDescent="0.2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</row>
    <row r="6631" spans="1:13" x14ac:dyDescent="0.25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 x14ac:dyDescent="0.25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</row>
    <row r="6633" spans="1:13" x14ac:dyDescent="0.25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</row>
    <row r="6634" spans="1:13" x14ac:dyDescent="0.25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</row>
    <row r="6635" spans="1:13" x14ac:dyDescent="0.25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 x14ac:dyDescent="0.25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 x14ac:dyDescent="0.25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 x14ac:dyDescent="0.25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 x14ac:dyDescent="0.25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</row>
    <row r="6640" spans="1:13" x14ac:dyDescent="0.25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 x14ac:dyDescent="0.25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</row>
    <row r="6642" spans="1:13" x14ac:dyDescent="0.25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 x14ac:dyDescent="0.25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</row>
    <row r="6644" spans="1:13" x14ac:dyDescent="0.25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 x14ac:dyDescent="0.25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 x14ac:dyDescent="0.25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 x14ac:dyDescent="0.25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</row>
    <row r="6648" spans="1:13" x14ac:dyDescent="0.25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</row>
    <row r="6649" spans="1:13" x14ac:dyDescent="0.25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 x14ac:dyDescent="0.25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</row>
    <row r="6651" spans="1:13" x14ac:dyDescent="0.25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</row>
    <row r="6652" spans="1:13" x14ac:dyDescent="0.25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</row>
    <row r="6653" spans="1:13" x14ac:dyDescent="0.25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</row>
    <row r="6654" spans="1:13" x14ac:dyDescent="0.25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</row>
    <row r="6655" spans="1:13" x14ac:dyDescent="0.25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</row>
    <row r="6656" spans="1:13" x14ac:dyDescent="0.25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</row>
    <row r="6657" spans="1:13" x14ac:dyDescent="0.25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 x14ac:dyDescent="0.25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</row>
    <row r="6659" spans="1:13" x14ac:dyDescent="0.25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 x14ac:dyDescent="0.25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 x14ac:dyDescent="0.25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</row>
    <row r="6662" spans="1:13" x14ac:dyDescent="0.25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</row>
    <row r="6663" spans="1:13" x14ac:dyDescent="0.25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</row>
    <row r="6664" spans="1:13" x14ac:dyDescent="0.25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 x14ac:dyDescent="0.25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</row>
    <row r="6666" spans="1:13" x14ac:dyDescent="0.25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 x14ac:dyDescent="0.25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</row>
    <row r="6668" spans="1:13" x14ac:dyDescent="0.25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</row>
    <row r="6669" spans="1:13" x14ac:dyDescent="0.25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</row>
    <row r="6670" spans="1:13" x14ac:dyDescent="0.25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 x14ac:dyDescent="0.25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</row>
    <row r="6672" spans="1:13" x14ac:dyDescent="0.25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</row>
    <row r="6673" spans="1:13" x14ac:dyDescent="0.25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</row>
    <row r="6674" spans="1:13" x14ac:dyDescent="0.25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 x14ac:dyDescent="0.25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</row>
    <row r="6676" spans="1:13" x14ac:dyDescent="0.25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</row>
    <row r="6677" spans="1:13" x14ac:dyDescent="0.25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</row>
    <row r="6678" spans="1:13" x14ac:dyDescent="0.25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</row>
    <row r="6679" spans="1:13" x14ac:dyDescent="0.25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 x14ac:dyDescent="0.25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</row>
    <row r="6681" spans="1:13" x14ac:dyDescent="0.25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</row>
    <row r="6682" spans="1:13" x14ac:dyDescent="0.25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</row>
    <row r="6683" spans="1:13" x14ac:dyDescent="0.25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</row>
    <row r="6684" spans="1:13" x14ac:dyDescent="0.25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 x14ac:dyDescent="0.25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</row>
    <row r="6686" spans="1:13" x14ac:dyDescent="0.25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</row>
    <row r="6687" spans="1:13" x14ac:dyDescent="0.25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</row>
    <row r="6688" spans="1:13" x14ac:dyDescent="0.25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 x14ac:dyDescent="0.25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</row>
    <row r="6690" spans="1:13" x14ac:dyDescent="0.25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</row>
    <row r="6691" spans="1:13" x14ac:dyDescent="0.25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</row>
    <row r="6692" spans="1:13" x14ac:dyDescent="0.25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 x14ac:dyDescent="0.25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 x14ac:dyDescent="0.25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</row>
    <row r="6695" spans="1:13" x14ac:dyDescent="0.25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 x14ac:dyDescent="0.25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</row>
    <row r="6697" spans="1:13" x14ac:dyDescent="0.25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</row>
    <row r="6698" spans="1:13" x14ac:dyDescent="0.25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</row>
    <row r="6699" spans="1:13" x14ac:dyDescent="0.25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 x14ac:dyDescent="0.25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 x14ac:dyDescent="0.25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</row>
    <row r="6702" spans="1:13" x14ac:dyDescent="0.25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</row>
    <row r="6703" spans="1:13" x14ac:dyDescent="0.25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</row>
    <row r="6704" spans="1:13" x14ac:dyDescent="0.25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 x14ac:dyDescent="0.25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 x14ac:dyDescent="0.25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 x14ac:dyDescent="0.25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 x14ac:dyDescent="0.25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</row>
    <row r="6709" spans="1:13" x14ac:dyDescent="0.25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</row>
    <row r="6710" spans="1:13" x14ac:dyDescent="0.25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</row>
    <row r="6711" spans="1:13" x14ac:dyDescent="0.25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 x14ac:dyDescent="0.25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 x14ac:dyDescent="0.25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</row>
    <row r="6714" spans="1:13" x14ac:dyDescent="0.25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</row>
    <row r="6715" spans="1:13" x14ac:dyDescent="0.25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 x14ac:dyDescent="0.25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</row>
    <row r="6717" spans="1:13" x14ac:dyDescent="0.25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</row>
    <row r="6718" spans="1:13" x14ac:dyDescent="0.25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 x14ac:dyDescent="0.25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 x14ac:dyDescent="0.25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</row>
    <row r="6721" spans="1:13" x14ac:dyDescent="0.25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 x14ac:dyDescent="0.25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 x14ac:dyDescent="0.25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</row>
    <row r="6724" spans="1:13" x14ac:dyDescent="0.25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 x14ac:dyDescent="0.25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</row>
    <row r="6726" spans="1:13" x14ac:dyDescent="0.25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 x14ac:dyDescent="0.25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 x14ac:dyDescent="0.25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</row>
    <row r="6729" spans="1:13" x14ac:dyDescent="0.25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</row>
    <row r="6730" spans="1:13" x14ac:dyDescent="0.25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</row>
    <row r="6731" spans="1:13" x14ac:dyDescent="0.25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</row>
    <row r="6732" spans="1:13" x14ac:dyDescent="0.25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</row>
    <row r="6733" spans="1:13" x14ac:dyDescent="0.25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 x14ac:dyDescent="0.25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 x14ac:dyDescent="0.25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 x14ac:dyDescent="0.25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 x14ac:dyDescent="0.25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 x14ac:dyDescent="0.25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 x14ac:dyDescent="0.25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 x14ac:dyDescent="0.25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</row>
    <row r="6741" spans="1:13" x14ac:dyDescent="0.25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 x14ac:dyDescent="0.25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</row>
    <row r="6743" spans="1:13" x14ac:dyDescent="0.25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 x14ac:dyDescent="0.25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</row>
    <row r="6745" spans="1:13" x14ac:dyDescent="0.25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</row>
    <row r="6746" spans="1:13" x14ac:dyDescent="0.25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</row>
    <row r="6747" spans="1:13" x14ac:dyDescent="0.25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 x14ac:dyDescent="0.25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</row>
    <row r="6749" spans="1:13" x14ac:dyDescent="0.25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</row>
    <row r="6750" spans="1:13" x14ac:dyDescent="0.25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 x14ac:dyDescent="0.25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</row>
    <row r="6752" spans="1:13" x14ac:dyDescent="0.25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 x14ac:dyDescent="0.25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</row>
    <row r="6754" spans="1:13" x14ac:dyDescent="0.25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 x14ac:dyDescent="0.25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 x14ac:dyDescent="0.25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 x14ac:dyDescent="0.25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 x14ac:dyDescent="0.25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 x14ac:dyDescent="0.25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</row>
    <row r="6760" spans="1:13" x14ac:dyDescent="0.25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</row>
    <row r="6761" spans="1:13" x14ac:dyDescent="0.25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</row>
    <row r="6762" spans="1:13" x14ac:dyDescent="0.25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</row>
    <row r="6763" spans="1:13" x14ac:dyDescent="0.25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 x14ac:dyDescent="0.25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 x14ac:dyDescent="0.25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 x14ac:dyDescent="0.25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 x14ac:dyDescent="0.25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 x14ac:dyDescent="0.25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</row>
    <row r="6769" spans="1:13" x14ac:dyDescent="0.25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</row>
    <row r="6770" spans="1:13" x14ac:dyDescent="0.25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</row>
    <row r="6771" spans="1:13" x14ac:dyDescent="0.25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</row>
    <row r="6772" spans="1:13" x14ac:dyDescent="0.25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</row>
    <row r="6773" spans="1:13" x14ac:dyDescent="0.25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</row>
    <row r="6774" spans="1:13" x14ac:dyDescent="0.25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 x14ac:dyDescent="0.25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</row>
    <row r="6776" spans="1:13" x14ac:dyDescent="0.25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 x14ac:dyDescent="0.25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 x14ac:dyDescent="0.25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</row>
    <row r="6779" spans="1:13" x14ac:dyDescent="0.25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 x14ac:dyDescent="0.25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 x14ac:dyDescent="0.25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 x14ac:dyDescent="0.25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 x14ac:dyDescent="0.25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</row>
    <row r="6784" spans="1:13" x14ac:dyDescent="0.25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</row>
    <row r="6785" spans="1:13" x14ac:dyDescent="0.25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</row>
    <row r="6786" spans="1:13" x14ac:dyDescent="0.25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</row>
    <row r="6787" spans="1:13" x14ac:dyDescent="0.25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</row>
    <row r="6788" spans="1:13" x14ac:dyDescent="0.25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</row>
    <row r="6789" spans="1:13" x14ac:dyDescent="0.25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 x14ac:dyDescent="0.25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</row>
    <row r="6791" spans="1:13" x14ac:dyDescent="0.25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 x14ac:dyDescent="0.25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</row>
    <row r="6793" spans="1:13" x14ac:dyDescent="0.25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 x14ac:dyDescent="0.25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</row>
    <row r="6795" spans="1:13" x14ac:dyDescent="0.25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 x14ac:dyDescent="0.25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 x14ac:dyDescent="0.25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</row>
    <row r="6798" spans="1:13" x14ac:dyDescent="0.25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 x14ac:dyDescent="0.25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 x14ac:dyDescent="0.25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 x14ac:dyDescent="0.25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</row>
    <row r="6802" spans="1:13" x14ac:dyDescent="0.25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 x14ac:dyDescent="0.25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 x14ac:dyDescent="0.25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</row>
    <row r="6805" spans="1:13" x14ac:dyDescent="0.25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</row>
    <row r="6806" spans="1:13" x14ac:dyDescent="0.25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 x14ac:dyDescent="0.25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</row>
    <row r="6808" spans="1:13" x14ac:dyDescent="0.25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</row>
    <row r="6809" spans="1:13" x14ac:dyDescent="0.25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 x14ac:dyDescent="0.25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 x14ac:dyDescent="0.25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</row>
    <row r="6812" spans="1:13" x14ac:dyDescent="0.25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</row>
    <row r="6813" spans="1:13" x14ac:dyDescent="0.25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</row>
    <row r="6814" spans="1:13" x14ac:dyDescent="0.25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</row>
    <row r="6815" spans="1:13" x14ac:dyDescent="0.25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</row>
    <row r="6816" spans="1:13" x14ac:dyDescent="0.25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</row>
    <row r="6817" spans="1:13" x14ac:dyDescent="0.25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</row>
    <row r="6818" spans="1:13" x14ac:dyDescent="0.25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 x14ac:dyDescent="0.25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</row>
    <row r="6820" spans="1:13" x14ac:dyDescent="0.25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</row>
    <row r="6821" spans="1:13" x14ac:dyDescent="0.25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</row>
    <row r="6822" spans="1:13" x14ac:dyDescent="0.25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</row>
    <row r="6823" spans="1:13" x14ac:dyDescent="0.25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</row>
    <row r="6824" spans="1:13" x14ac:dyDescent="0.25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</row>
    <row r="6825" spans="1:13" x14ac:dyDescent="0.25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 x14ac:dyDescent="0.25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</row>
    <row r="6827" spans="1:13" x14ac:dyDescent="0.25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 x14ac:dyDescent="0.25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 x14ac:dyDescent="0.25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</row>
    <row r="6830" spans="1:13" x14ac:dyDescent="0.25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 x14ac:dyDescent="0.25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</row>
    <row r="6832" spans="1:13" x14ac:dyDescent="0.25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 x14ac:dyDescent="0.25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 x14ac:dyDescent="0.25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</row>
    <row r="6835" spans="1:13" x14ac:dyDescent="0.25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</row>
    <row r="6836" spans="1:13" x14ac:dyDescent="0.25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 x14ac:dyDescent="0.25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 x14ac:dyDescent="0.25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</row>
    <row r="6839" spans="1:13" x14ac:dyDescent="0.25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</row>
    <row r="6840" spans="1:13" x14ac:dyDescent="0.25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 x14ac:dyDescent="0.25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</row>
    <row r="6842" spans="1:13" x14ac:dyDescent="0.25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</row>
    <row r="6843" spans="1:13" x14ac:dyDescent="0.25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</row>
    <row r="6844" spans="1:13" x14ac:dyDescent="0.25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</row>
    <row r="6845" spans="1:13" x14ac:dyDescent="0.25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</row>
    <row r="6846" spans="1:13" x14ac:dyDescent="0.25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</row>
    <row r="6847" spans="1:13" x14ac:dyDescent="0.25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</row>
    <row r="6848" spans="1:13" x14ac:dyDescent="0.25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 x14ac:dyDescent="0.25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</row>
    <row r="6850" spans="1:13" x14ac:dyDescent="0.25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</row>
    <row r="6851" spans="1:13" x14ac:dyDescent="0.2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 x14ac:dyDescent="0.25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</row>
    <row r="6853" spans="1:13" x14ac:dyDescent="0.25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</row>
    <row r="6854" spans="1:13" x14ac:dyDescent="0.25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 x14ac:dyDescent="0.25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</row>
    <row r="6856" spans="1:13" x14ac:dyDescent="0.25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 x14ac:dyDescent="0.25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 x14ac:dyDescent="0.25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</row>
    <row r="6859" spans="1:13" x14ac:dyDescent="0.25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</row>
    <row r="6860" spans="1:13" x14ac:dyDescent="0.25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 x14ac:dyDescent="0.25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 x14ac:dyDescent="0.25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</row>
    <row r="6863" spans="1:13" x14ac:dyDescent="0.25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 x14ac:dyDescent="0.25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 x14ac:dyDescent="0.25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 x14ac:dyDescent="0.25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</row>
    <row r="6867" spans="1:13" x14ac:dyDescent="0.25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</row>
    <row r="6868" spans="1:13" x14ac:dyDescent="0.25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 x14ac:dyDescent="0.25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</row>
    <row r="6870" spans="1:13" x14ac:dyDescent="0.25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</row>
    <row r="6871" spans="1:13" x14ac:dyDescent="0.25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 x14ac:dyDescent="0.25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 x14ac:dyDescent="0.25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</row>
    <row r="6874" spans="1:13" x14ac:dyDescent="0.25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</row>
    <row r="6875" spans="1:13" x14ac:dyDescent="0.25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 x14ac:dyDescent="0.25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</row>
    <row r="6877" spans="1:13" x14ac:dyDescent="0.25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</row>
    <row r="6878" spans="1:13" x14ac:dyDescent="0.25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 x14ac:dyDescent="0.25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</row>
    <row r="6880" spans="1:13" x14ac:dyDescent="0.25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</row>
    <row r="6881" spans="1:13" x14ac:dyDescent="0.25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 x14ac:dyDescent="0.25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</row>
    <row r="6883" spans="1:13" x14ac:dyDescent="0.25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</row>
    <row r="6884" spans="1:13" x14ac:dyDescent="0.25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</row>
    <row r="6885" spans="1:13" x14ac:dyDescent="0.25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</row>
    <row r="6886" spans="1:13" x14ac:dyDescent="0.25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</row>
    <row r="6887" spans="1:13" x14ac:dyDescent="0.25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 x14ac:dyDescent="0.25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 x14ac:dyDescent="0.25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 x14ac:dyDescent="0.25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</row>
    <row r="6891" spans="1:13" x14ac:dyDescent="0.25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 x14ac:dyDescent="0.25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</row>
    <row r="6893" spans="1:13" x14ac:dyDescent="0.25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 x14ac:dyDescent="0.25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</row>
    <row r="6895" spans="1:13" x14ac:dyDescent="0.25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</row>
    <row r="6896" spans="1:13" x14ac:dyDescent="0.25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</row>
    <row r="6897" spans="1:13" x14ac:dyDescent="0.25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</row>
    <row r="6898" spans="1:13" x14ac:dyDescent="0.25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</row>
    <row r="6899" spans="1:13" x14ac:dyDescent="0.25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</row>
    <row r="6900" spans="1:13" x14ac:dyDescent="0.25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 x14ac:dyDescent="0.25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</row>
    <row r="6902" spans="1:13" x14ac:dyDescent="0.25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 x14ac:dyDescent="0.25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</row>
    <row r="6904" spans="1:13" x14ac:dyDescent="0.25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 x14ac:dyDescent="0.25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</row>
    <row r="6906" spans="1:13" x14ac:dyDescent="0.25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 x14ac:dyDescent="0.25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</row>
    <row r="6908" spans="1:13" x14ac:dyDescent="0.25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</row>
    <row r="6909" spans="1:13" x14ac:dyDescent="0.25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</row>
    <row r="6910" spans="1:13" x14ac:dyDescent="0.25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</row>
    <row r="6911" spans="1:13" x14ac:dyDescent="0.25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</row>
    <row r="6912" spans="1:13" x14ac:dyDescent="0.25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 x14ac:dyDescent="0.25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</row>
    <row r="6914" spans="1:13" x14ac:dyDescent="0.25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</row>
    <row r="6915" spans="1:13" x14ac:dyDescent="0.25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 x14ac:dyDescent="0.25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</row>
    <row r="6917" spans="1:13" x14ac:dyDescent="0.25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</row>
    <row r="6918" spans="1:13" x14ac:dyDescent="0.25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 x14ac:dyDescent="0.25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 x14ac:dyDescent="0.25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</row>
    <row r="6921" spans="1:13" x14ac:dyDescent="0.25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 x14ac:dyDescent="0.25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</row>
    <row r="6923" spans="1:13" x14ac:dyDescent="0.25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</row>
    <row r="6924" spans="1:13" x14ac:dyDescent="0.25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</row>
    <row r="6925" spans="1:13" x14ac:dyDescent="0.25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 x14ac:dyDescent="0.25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</row>
    <row r="6927" spans="1:13" x14ac:dyDescent="0.25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 x14ac:dyDescent="0.25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</row>
    <row r="6929" spans="1:13" x14ac:dyDescent="0.25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 x14ac:dyDescent="0.25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 x14ac:dyDescent="0.25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</row>
    <row r="6932" spans="1:13" x14ac:dyDescent="0.25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 x14ac:dyDescent="0.25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</row>
    <row r="6934" spans="1:13" x14ac:dyDescent="0.25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</row>
    <row r="6935" spans="1:13" x14ac:dyDescent="0.25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</row>
    <row r="6936" spans="1:13" x14ac:dyDescent="0.25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</row>
    <row r="6937" spans="1:13" x14ac:dyDescent="0.25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</row>
    <row r="6938" spans="1:13" x14ac:dyDescent="0.25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 x14ac:dyDescent="0.25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</row>
    <row r="6940" spans="1:13" x14ac:dyDescent="0.25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 x14ac:dyDescent="0.25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</row>
    <row r="6942" spans="1:13" x14ac:dyDescent="0.25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 x14ac:dyDescent="0.25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 x14ac:dyDescent="0.25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</row>
    <row r="6945" spans="1:13" x14ac:dyDescent="0.25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</row>
    <row r="6946" spans="1:13" x14ac:dyDescent="0.25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 x14ac:dyDescent="0.25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</row>
    <row r="6948" spans="1:13" x14ac:dyDescent="0.25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</row>
    <row r="6949" spans="1:13" x14ac:dyDescent="0.25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</row>
    <row r="6950" spans="1:13" x14ac:dyDescent="0.25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 x14ac:dyDescent="0.25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</row>
    <row r="6952" spans="1:13" x14ac:dyDescent="0.25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 x14ac:dyDescent="0.25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</row>
    <row r="6954" spans="1:13" x14ac:dyDescent="0.25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</row>
    <row r="6955" spans="1:13" x14ac:dyDescent="0.25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 x14ac:dyDescent="0.25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</row>
    <row r="6957" spans="1:13" x14ac:dyDescent="0.25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</row>
    <row r="6958" spans="1:13" x14ac:dyDescent="0.25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</row>
    <row r="6959" spans="1:13" x14ac:dyDescent="0.25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</row>
    <row r="6960" spans="1:13" x14ac:dyDescent="0.25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</row>
    <row r="6961" spans="1:13" x14ac:dyDescent="0.25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 x14ac:dyDescent="0.25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 x14ac:dyDescent="0.25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 x14ac:dyDescent="0.25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 x14ac:dyDescent="0.25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</row>
    <row r="6966" spans="1:13" x14ac:dyDescent="0.25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</row>
    <row r="6967" spans="1:13" x14ac:dyDescent="0.25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</row>
    <row r="6968" spans="1:13" x14ac:dyDescent="0.25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 x14ac:dyDescent="0.25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</row>
    <row r="6970" spans="1:13" x14ac:dyDescent="0.25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 x14ac:dyDescent="0.25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</row>
    <row r="6972" spans="1:13" x14ac:dyDescent="0.25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</row>
    <row r="6973" spans="1:13" x14ac:dyDescent="0.25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</row>
    <row r="6974" spans="1:13" x14ac:dyDescent="0.25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 x14ac:dyDescent="0.25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</row>
    <row r="6976" spans="1:13" x14ac:dyDescent="0.25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 x14ac:dyDescent="0.25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</row>
    <row r="6978" spans="1:13" x14ac:dyDescent="0.25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 x14ac:dyDescent="0.25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</row>
    <row r="6980" spans="1:13" x14ac:dyDescent="0.25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</row>
    <row r="6981" spans="1:13" x14ac:dyDescent="0.25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</row>
    <row r="6982" spans="1:13" x14ac:dyDescent="0.25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</row>
    <row r="6983" spans="1:13" x14ac:dyDescent="0.25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</row>
    <row r="6984" spans="1:13" x14ac:dyDescent="0.25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</row>
    <row r="6985" spans="1:13" x14ac:dyDescent="0.25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</row>
    <row r="6986" spans="1:13" x14ac:dyDescent="0.25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</row>
    <row r="6987" spans="1:13" x14ac:dyDescent="0.25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</row>
    <row r="6988" spans="1:13" x14ac:dyDescent="0.25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</row>
    <row r="6989" spans="1:13" x14ac:dyDescent="0.25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</row>
    <row r="6990" spans="1:13" x14ac:dyDescent="0.25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 x14ac:dyDescent="0.25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</row>
    <row r="6992" spans="1:13" x14ac:dyDescent="0.25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</row>
    <row r="6993" spans="1:13" x14ac:dyDescent="0.25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</row>
    <row r="6994" spans="1:13" x14ac:dyDescent="0.25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</row>
    <row r="6995" spans="1:13" x14ac:dyDescent="0.25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</row>
    <row r="6996" spans="1:13" x14ac:dyDescent="0.25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</row>
    <row r="6997" spans="1:13" x14ac:dyDescent="0.25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</row>
    <row r="6998" spans="1:13" x14ac:dyDescent="0.25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</row>
    <row r="6999" spans="1:13" x14ac:dyDescent="0.25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</row>
    <row r="7000" spans="1:13" x14ac:dyDescent="0.25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 x14ac:dyDescent="0.25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</row>
    <row r="7002" spans="1:13" x14ac:dyDescent="0.25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 x14ac:dyDescent="0.25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</row>
    <row r="7004" spans="1:13" x14ac:dyDescent="0.25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 x14ac:dyDescent="0.25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</row>
    <row r="7006" spans="1:13" x14ac:dyDescent="0.25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 x14ac:dyDescent="0.25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</row>
    <row r="7008" spans="1:13" x14ac:dyDescent="0.25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</row>
    <row r="7009" spans="1:13" x14ac:dyDescent="0.25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</row>
    <row r="7010" spans="1:13" x14ac:dyDescent="0.25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</row>
    <row r="7011" spans="1:13" x14ac:dyDescent="0.25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 x14ac:dyDescent="0.25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 x14ac:dyDescent="0.25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</row>
    <row r="7014" spans="1:13" x14ac:dyDescent="0.25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 x14ac:dyDescent="0.25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</row>
    <row r="7016" spans="1:13" x14ac:dyDescent="0.25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</row>
    <row r="7017" spans="1:13" x14ac:dyDescent="0.25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 x14ac:dyDescent="0.25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</row>
    <row r="7019" spans="1:13" x14ac:dyDescent="0.25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 x14ac:dyDescent="0.25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 x14ac:dyDescent="0.25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</row>
    <row r="7022" spans="1:13" x14ac:dyDescent="0.25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 x14ac:dyDescent="0.25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</row>
    <row r="7024" spans="1:13" x14ac:dyDescent="0.25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</row>
    <row r="7025" spans="1:13" x14ac:dyDescent="0.25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 x14ac:dyDescent="0.25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 x14ac:dyDescent="0.2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</row>
    <row r="7028" spans="1:13" x14ac:dyDescent="0.25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 x14ac:dyDescent="0.25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</row>
    <row r="7030" spans="1:13" x14ac:dyDescent="0.25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</row>
    <row r="7031" spans="1:13" x14ac:dyDescent="0.25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 x14ac:dyDescent="0.25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 x14ac:dyDescent="0.25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 x14ac:dyDescent="0.25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</row>
    <row r="7035" spans="1:13" x14ac:dyDescent="0.25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</row>
    <row r="7036" spans="1:13" x14ac:dyDescent="0.25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 x14ac:dyDescent="0.25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 x14ac:dyDescent="0.25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 x14ac:dyDescent="0.25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 x14ac:dyDescent="0.25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</row>
    <row r="7041" spans="1:13" x14ac:dyDescent="0.25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 x14ac:dyDescent="0.25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 x14ac:dyDescent="0.25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 x14ac:dyDescent="0.25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</row>
    <row r="7045" spans="1:13" x14ac:dyDescent="0.25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</row>
    <row r="7046" spans="1:13" x14ac:dyDescent="0.25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</row>
    <row r="7047" spans="1:13" x14ac:dyDescent="0.25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 x14ac:dyDescent="0.25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 x14ac:dyDescent="0.25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</row>
    <row r="7050" spans="1:13" x14ac:dyDescent="0.25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</row>
    <row r="7051" spans="1:13" x14ac:dyDescent="0.25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</row>
    <row r="7052" spans="1:13" x14ac:dyDescent="0.2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</row>
    <row r="7053" spans="1:13" x14ac:dyDescent="0.2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</row>
    <row r="7054" spans="1:13" x14ac:dyDescent="0.25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</row>
    <row r="7055" spans="1:13" x14ac:dyDescent="0.25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 x14ac:dyDescent="0.25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 x14ac:dyDescent="0.25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</row>
    <row r="7058" spans="1:13" x14ac:dyDescent="0.25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</row>
    <row r="7059" spans="1:13" x14ac:dyDescent="0.25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 x14ac:dyDescent="0.25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</row>
    <row r="7061" spans="1:13" x14ac:dyDescent="0.25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 x14ac:dyDescent="0.25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</row>
    <row r="7063" spans="1:13" x14ac:dyDescent="0.25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 x14ac:dyDescent="0.25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 x14ac:dyDescent="0.25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</row>
    <row r="7066" spans="1:13" x14ac:dyDescent="0.25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</row>
    <row r="7067" spans="1:13" x14ac:dyDescent="0.25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 x14ac:dyDescent="0.25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 x14ac:dyDescent="0.25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</row>
    <row r="7070" spans="1:13" x14ac:dyDescent="0.25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 x14ac:dyDescent="0.25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 x14ac:dyDescent="0.25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</row>
    <row r="7073" spans="1:13" x14ac:dyDescent="0.25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 x14ac:dyDescent="0.25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</row>
    <row r="7075" spans="1:13" x14ac:dyDescent="0.25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 x14ac:dyDescent="0.25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</row>
    <row r="7077" spans="1:13" x14ac:dyDescent="0.25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 x14ac:dyDescent="0.25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 x14ac:dyDescent="0.25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 x14ac:dyDescent="0.25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</row>
    <row r="7081" spans="1:13" x14ac:dyDescent="0.25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 x14ac:dyDescent="0.25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</row>
    <row r="7083" spans="1:13" x14ac:dyDescent="0.25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</row>
    <row r="7084" spans="1:13" x14ac:dyDescent="0.25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</row>
    <row r="7085" spans="1:13" x14ac:dyDescent="0.25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</row>
    <row r="7086" spans="1:13" x14ac:dyDescent="0.25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 x14ac:dyDescent="0.25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 x14ac:dyDescent="0.25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 x14ac:dyDescent="0.25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 x14ac:dyDescent="0.25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</row>
    <row r="7091" spans="1:13" x14ac:dyDescent="0.25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 x14ac:dyDescent="0.25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</row>
    <row r="7093" spans="1:13" x14ac:dyDescent="0.25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 x14ac:dyDescent="0.25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</row>
    <row r="7095" spans="1:13" x14ac:dyDescent="0.25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</row>
    <row r="7096" spans="1:13" x14ac:dyDescent="0.25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</row>
    <row r="7097" spans="1:13" x14ac:dyDescent="0.25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 x14ac:dyDescent="0.25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 x14ac:dyDescent="0.25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</row>
    <row r="7100" spans="1:13" x14ac:dyDescent="0.2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</row>
    <row r="7101" spans="1:13" x14ac:dyDescent="0.25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</row>
    <row r="7102" spans="1:13" x14ac:dyDescent="0.25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 x14ac:dyDescent="0.25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 x14ac:dyDescent="0.25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 x14ac:dyDescent="0.25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 x14ac:dyDescent="0.25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 x14ac:dyDescent="0.25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</row>
    <row r="7108" spans="1:13" x14ac:dyDescent="0.25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 x14ac:dyDescent="0.25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</row>
    <row r="7110" spans="1:13" x14ac:dyDescent="0.25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 x14ac:dyDescent="0.25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 x14ac:dyDescent="0.25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</row>
    <row r="7113" spans="1:13" x14ac:dyDescent="0.25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</row>
    <row r="7114" spans="1:13" x14ac:dyDescent="0.25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 x14ac:dyDescent="0.25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</row>
    <row r="7116" spans="1:13" x14ac:dyDescent="0.25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</row>
    <row r="7117" spans="1:13" x14ac:dyDescent="0.25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</row>
    <row r="7118" spans="1:13" x14ac:dyDescent="0.25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 x14ac:dyDescent="0.25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</row>
    <row r="7120" spans="1:13" x14ac:dyDescent="0.25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</row>
    <row r="7121" spans="1:13" x14ac:dyDescent="0.25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 x14ac:dyDescent="0.25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 x14ac:dyDescent="0.25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 x14ac:dyDescent="0.25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</row>
    <row r="7125" spans="1:13" x14ac:dyDescent="0.25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 x14ac:dyDescent="0.25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</row>
    <row r="7127" spans="1:13" x14ac:dyDescent="0.25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</row>
    <row r="7128" spans="1:13" x14ac:dyDescent="0.25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</row>
    <row r="7129" spans="1:13" x14ac:dyDescent="0.25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</row>
    <row r="7130" spans="1:13" x14ac:dyDescent="0.25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 x14ac:dyDescent="0.25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</row>
    <row r="7132" spans="1:13" x14ac:dyDescent="0.25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 x14ac:dyDescent="0.25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</row>
    <row r="7134" spans="1:13" x14ac:dyDescent="0.25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</row>
    <row r="7135" spans="1:13" x14ac:dyDescent="0.25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</row>
    <row r="7136" spans="1:13" x14ac:dyDescent="0.25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</row>
    <row r="7137" spans="1:13" x14ac:dyDescent="0.25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</row>
    <row r="7138" spans="1:13" x14ac:dyDescent="0.25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 x14ac:dyDescent="0.25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 x14ac:dyDescent="0.25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 x14ac:dyDescent="0.25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</row>
    <row r="7142" spans="1:13" x14ac:dyDescent="0.25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 x14ac:dyDescent="0.25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 x14ac:dyDescent="0.25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</row>
    <row r="7145" spans="1:13" x14ac:dyDescent="0.25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</row>
    <row r="7146" spans="1:13" x14ac:dyDescent="0.25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</row>
    <row r="7147" spans="1:13" x14ac:dyDescent="0.25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 x14ac:dyDescent="0.25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</row>
    <row r="7149" spans="1:13" x14ac:dyDescent="0.25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 x14ac:dyDescent="0.25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</row>
    <row r="7151" spans="1:13" x14ac:dyDescent="0.25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</row>
    <row r="7152" spans="1:13" x14ac:dyDescent="0.25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 x14ac:dyDescent="0.25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</row>
    <row r="7154" spans="1:13" x14ac:dyDescent="0.25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</row>
    <row r="7155" spans="1:13" x14ac:dyDescent="0.25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</row>
    <row r="7156" spans="1:13" x14ac:dyDescent="0.25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</row>
    <row r="7157" spans="1:13" x14ac:dyDescent="0.25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 x14ac:dyDescent="0.25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</row>
    <row r="7159" spans="1:13" x14ac:dyDescent="0.25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 x14ac:dyDescent="0.25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</row>
    <row r="7161" spans="1:13" x14ac:dyDescent="0.25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</row>
    <row r="7162" spans="1:13" x14ac:dyDescent="0.25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 x14ac:dyDescent="0.25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 x14ac:dyDescent="0.25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 x14ac:dyDescent="0.25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</row>
    <row r="7166" spans="1:13" x14ac:dyDescent="0.25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 x14ac:dyDescent="0.25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 x14ac:dyDescent="0.25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 x14ac:dyDescent="0.25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 x14ac:dyDescent="0.25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</row>
    <row r="7171" spans="1:13" x14ac:dyDescent="0.25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 x14ac:dyDescent="0.25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</row>
    <row r="7173" spans="1:13" x14ac:dyDescent="0.25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</row>
    <row r="7174" spans="1:13" x14ac:dyDescent="0.25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</row>
    <row r="7175" spans="1:13" x14ac:dyDescent="0.25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</row>
    <row r="7176" spans="1:13" x14ac:dyDescent="0.25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</row>
    <row r="7177" spans="1:13" x14ac:dyDescent="0.25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 x14ac:dyDescent="0.25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 x14ac:dyDescent="0.25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 x14ac:dyDescent="0.25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 x14ac:dyDescent="0.25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 x14ac:dyDescent="0.25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 x14ac:dyDescent="0.25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 x14ac:dyDescent="0.25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</row>
    <row r="7185" spans="1:13" x14ac:dyDescent="0.25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 x14ac:dyDescent="0.25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</row>
    <row r="7187" spans="1:13" x14ac:dyDescent="0.25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</row>
    <row r="7188" spans="1:13" x14ac:dyDescent="0.25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 x14ac:dyDescent="0.25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</row>
    <row r="7190" spans="1:13" x14ac:dyDescent="0.25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 x14ac:dyDescent="0.25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</row>
    <row r="7192" spans="1:13" x14ac:dyDescent="0.25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</row>
    <row r="7193" spans="1:13" x14ac:dyDescent="0.25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</row>
    <row r="7194" spans="1:13" x14ac:dyDescent="0.25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 x14ac:dyDescent="0.25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</row>
    <row r="7196" spans="1:13" x14ac:dyDescent="0.25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 x14ac:dyDescent="0.25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</row>
    <row r="7198" spans="1:13" x14ac:dyDescent="0.25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</row>
    <row r="7199" spans="1:13" x14ac:dyDescent="0.25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</row>
    <row r="7200" spans="1:13" x14ac:dyDescent="0.25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</row>
    <row r="7201" spans="1:13" x14ac:dyDescent="0.25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 x14ac:dyDescent="0.25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</row>
    <row r="7203" spans="1:13" x14ac:dyDescent="0.25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 x14ac:dyDescent="0.25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</row>
    <row r="7205" spans="1:13" x14ac:dyDescent="0.25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</row>
    <row r="7206" spans="1:13" x14ac:dyDescent="0.25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 x14ac:dyDescent="0.25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 x14ac:dyDescent="0.25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</row>
    <row r="7209" spans="1:13" x14ac:dyDescent="0.25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</row>
    <row r="7210" spans="1:13" x14ac:dyDescent="0.25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</row>
    <row r="7211" spans="1:13" x14ac:dyDescent="0.25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 x14ac:dyDescent="0.25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 x14ac:dyDescent="0.25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 x14ac:dyDescent="0.25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</row>
    <row r="7215" spans="1:13" x14ac:dyDescent="0.25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</row>
    <row r="7216" spans="1:13" x14ac:dyDescent="0.25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</row>
    <row r="7217" spans="1:13" x14ac:dyDescent="0.25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</row>
    <row r="7218" spans="1:13" x14ac:dyDescent="0.25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</row>
    <row r="7219" spans="1:13" x14ac:dyDescent="0.25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</row>
    <row r="7220" spans="1:13" x14ac:dyDescent="0.25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 x14ac:dyDescent="0.2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 x14ac:dyDescent="0.25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 x14ac:dyDescent="0.25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</row>
    <row r="7224" spans="1:13" x14ac:dyDescent="0.25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</row>
    <row r="7225" spans="1:13" x14ac:dyDescent="0.25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</row>
    <row r="7226" spans="1:13" x14ac:dyDescent="0.25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</row>
    <row r="7227" spans="1:13" x14ac:dyDescent="0.25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</row>
    <row r="7228" spans="1:13" x14ac:dyDescent="0.25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</row>
    <row r="7229" spans="1:13" x14ac:dyDescent="0.25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</row>
    <row r="7230" spans="1:13" x14ac:dyDescent="0.25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 x14ac:dyDescent="0.25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</row>
    <row r="7232" spans="1:13" x14ac:dyDescent="0.25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</row>
    <row r="7233" spans="1:13" x14ac:dyDescent="0.25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 x14ac:dyDescent="0.25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 x14ac:dyDescent="0.25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</row>
    <row r="7236" spans="1:13" x14ac:dyDescent="0.25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</row>
    <row r="7237" spans="1:13" x14ac:dyDescent="0.25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</row>
    <row r="7238" spans="1:13" x14ac:dyDescent="0.25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</row>
    <row r="7239" spans="1:13" x14ac:dyDescent="0.25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 x14ac:dyDescent="0.25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</row>
    <row r="7241" spans="1:13" x14ac:dyDescent="0.25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</row>
    <row r="7242" spans="1:13" x14ac:dyDescent="0.25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 x14ac:dyDescent="0.25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 x14ac:dyDescent="0.25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 x14ac:dyDescent="0.25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</row>
    <row r="7246" spans="1:13" x14ac:dyDescent="0.25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 x14ac:dyDescent="0.25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</row>
    <row r="7248" spans="1:13" x14ac:dyDescent="0.25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 x14ac:dyDescent="0.25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</row>
    <row r="7250" spans="1:13" x14ac:dyDescent="0.25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</row>
    <row r="7251" spans="1:13" x14ac:dyDescent="0.25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</row>
    <row r="7252" spans="1:13" x14ac:dyDescent="0.25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 x14ac:dyDescent="0.25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</row>
    <row r="7254" spans="1:13" x14ac:dyDescent="0.25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</row>
    <row r="7255" spans="1:13" x14ac:dyDescent="0.25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</row>
    <row r="7256" spans="1:13" x14ac:dyDescent="0.25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</row>
    <row r="7257" spans="1:13" x14ac:dyDescent="0.25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 x14ac:dyDescent="0.25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 x14ac:dyDescent="0.25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</row>
    <row r="7260" spans="1:13" x14ac:dyDescent="0.25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 x14ac:dyDescent="0.25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 x14ac:dyDescent="0.25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</row>
    <row r="7263" spans="1:13" x14ac:dyDescent="0.25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</row>
    <row r="7264" spans="1:13" x14ac:dyDescent="0.25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</row>
    <row r="7265" spans="1:13" x14ac:dyDescent="0.25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</row>
    <row r="7266" spans="1:13" x14ac:dyDescent="0.25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</row>
    <row r="7267" spans="1:13" x14ac:dyDescent="0.25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</row>
    <row r="7268" spans="1:13" x14ac:dyDescent="0.25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 x14ac:dyDescent="0.25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 x14ac:dyDescent="0.25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 x14ac:dyDescent="0.25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 x14ac:dyDescent="0.25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 x14ac:dyDescent="0.25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 x14ac:dyDescent="0.25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</row>
    <row r="7275" spans="1:13" x14ac:dyDescent="0.25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</row>
    <row r="7276" spans="1:13" x14ac:dyDescent="0.25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</row>
    <row r="7277" spans="1:13" x14ac:dyDescent="0.25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 x14ac:dyDescent="0.25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 x14ac:dyDescent="0.25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</row>
    <row r="7280" spans="1:13" x14ac:dyDescent="0.25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</row>
    <row r="7281" spans="1:13" x14ac:dyDescent="0.25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 x14ac:dyDescent="0.25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</row>
    <row r="7283" spans="1:13" x14ac:dyDescent="0.25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</row>
    <row r="7284" spans="1:13" x14ac:dyDescent="0.25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 x14ac:dyDescent="0.25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 x14ac:dyDescent="0.25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</row>
    <row r="7287" spans="1:13" x14ac:dyDescent="0.25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 x14ac:dyDescent="0.25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 x14ac:dyDescent="0.25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</row>
    <row r="7290" spans="1:13" x14ac:dyDescent="0.25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 x14ac:dyDescent="0.25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</row>
    <row r="7292" spans="1:13" x14ac:dyDescent="0.25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</row>
    <row r="7293" spans="1:13" x14ac:dyDescent="0.25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</row>
    <row r="7294" spans="1:13" x14ac:dyDescent="0.25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 x14ac:dyDescent="0.25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</row>
    <row r="7296" spans="1:13" x14ac:dyDescent="0.25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 x14ac:dyDescent="0.25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 x14ac:dyDescent="0.25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 x14ac:dyDescent="0.25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</row>
    <row r="7300" spans="1:13" x14ac:dyDescent="0.25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 x14ac:dyDescent="0.25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</row>
    <row r="7302" spans="1:13" x14ac:dyDescent="0.25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</row>
    <row r="7303" spans="1:13" x14ac:dyDescent="0.25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</row>
    <row r="7304" spans="1:13" x14ac:dyDescent="0.25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</row>
    <row r="7305" spans="1:13" x14ac:dyDescent="0.25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</row>
    <row r="7306" spans="1:13" x14ac:dyDescent="0.25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 x14ac:dyDescent="0.25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</row>
    <row r="7308" spans="1:13" x14ac:dyDescent="0.25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</row>
    <row r="7309" spans="1:13" x14ac:dyDescent="0.25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 x14ac:dyDescent="0.25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 x14ac:dyDescent="0.25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 x14ac:dyDescent="0.25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 x14ac:dyDescent="0.25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</row>
    <row r="7314" spans="1:13" x14ac:dyDescent="0.25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</row>
    <row r="7315" spans="1:13" x14ac:dyDescent="0.25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 x14ac:dyDescent="0.25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</row>
    <row r="7317" spans="1:13" x14ac:dyDescent="0.25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 x14ac:dyDescent="0.25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 x14ac:dyDescent="0.25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 x14ac:dyDescent="0.25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</row>
    <row r="7321" spans="1:13" x14ac:dyDescent="0.25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</row>
    <row r="7322" spans="1:13" x14ac:dyDescent="0.25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</row>
    <row r="7323" spans="1:13" x14ac:dyDescent="0.25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</row>
    <row r="7324" spans="1:13" x14ac:dyDescent="0.25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 x14ac:dyDescent="0.25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 x14ac:dyDescent="0.25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</row>
    <row r="7327" spans="1:13" x14ac:dyDescent="0.25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 x14ac:dyDescent="0.25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</row>
    <row r="7329" spans="1:13" x14ac:dyDescent="0.25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 x14ac:dyDescent="0.25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</row>
    <row r="7331" spans="1:13" x14ac:dyDescent="0.25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</row>
    <row r="7332" spans="1:13" x14ac:dyDescent="0.25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</row>
    <row r="7333" spans="1:13" x14ac:dyDescent="0.25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 x14ac:dyDescent="0.25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 x14ac:dyDescent="0.25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</row>
    <row r="7336" spans="1:13" x14ac:dyDescent="0.25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</row>
    <row r="7337" spans="1:13" x14ac:dyDescent="0.25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 x14ac:dyDescent="0.25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 x14ac:dyDescent="0.25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</row>
    <row r="7340" spans="1:13" x14ac:dyDescent="0.25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</row>
    <row r="7341" spans="1:13" x14ac:dyDescent="0.25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 x14ac:dyDescent="0.25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</row>
    <row r="7343" spans="1:13" x14ac:dyDescent="0.25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</row>
    <row r="7344" spans="1:13" x14ac:dyDescent="0.25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</row>
    <row r="7345" spans="1:13" x14ac:dyDescent="0.25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</row>
    <row r="7346" spans="1:13" x14ac:dyDescent="0.25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 x14ac:dyDescent="0.25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</row>
    <row r="7348" spans="1:13" x14ac:dyDescent="0.25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</row>
    <row r="7349" spans="1:13" x14ac:dyDescent="0.25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 x14ac:dyDescent="0.25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</row>
    <row r="7351" spans="1:13" x14ac:dyDescent="0.25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</row>
    <row r="7352" spans="1:13" x14ac:dyDescent="0.25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 x14ac:dyDescent="0.25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 x14ac:dyDescent="0.25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</row>
    <row r="7355" spans="1:13" x14ac:dyDescent="0.25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</row>
    <row r="7356" spans="1:13" x14ac:dyDescent="0.25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 x14ac:dyDescent="0.25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 x14ac:dyDescent="0.25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 x14ac:dyDescent="0.25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 x14ac:dyDescent="0.25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</row>
    <row r="7361" spans="1:13" x14ac:dyDescent="0.25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</row>
    <row r="7362" spans="1:13" x14ac:dyDescent="0.25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 x14ac:dyDescent="0.25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 x14ac:dyDescent="0.25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</row>
    <row r="7365" spans="1:13" x14ac:dyDescent="0.25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</row>
    <row r="7366" spans="1:13" x14ac:dyDescent="0.25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</row>
    <row r="7367" spans="1:13" x14ac:dyDescent="0.25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</row>
    <row r="7368" spans="1:13" x14ac:dyDescent="0.25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 x14ac:dyDescent="0.25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 x14ac:dyDescent="0.25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</row>
    <row r="7371" spans="1:13" x14ac:dyDescent="0.25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 x14ac:dyDescent="0.25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</row>
    <row r="7373" spans="1:13" x14ac:dyDescent="0.25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 x14ac:dyDescent="0.25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 x14ac:dyDescent="0.25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</row>
    <row r="7376" spans="1:13" x14ac:dyDescent="0.25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</row>
    <row r="7377" spans="1:13" x14ac:dyDescent="0.25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</row>
    <row r="7378" spans="1:13" x14ac:dyDescent="0.25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</row>
    <row r="7379" spans="1:13" x14ac:dyDescent="0.25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 x14ac:dyDescent="0.25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</row>
    <row r="7381" spans="1:13" x14ac:dyDescent="0.2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</row>
    <row r="7382" spans="1:13" x14ac:dyDescent="0.25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 x14ac:dyDescent="0.25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 x14ac:dyDescent="0.25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 x14ac:dyDescent="0.25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</row>
    <row r="7386" spans="1:13" x14ac:dyDescent="0.25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</row>
    <row r="7387" spans="1:13" x14ac:dyDescent="0.25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</row>
    <row r="7388" spans="1:13" x14ac:dyDescent="0.25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</row>
    <row r="7389" spans="1:13" x14ac:dyDescent="0.25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 x14ac:dyDescent="0.25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</row>
    <row r="7391" spans="1:13" x14ac:dyDescent="0.25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</row>
    <row r="7392" spans="1:13" x14ac:dyDescent="0.25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 x14ac:dyDescent="0.25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</row>
    <row r="7394" spans="1:13" x14ac:dyDescent="0.25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</row>
    <row r="7395" spans="1:13" x14ac:dyDescent="0.25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</row>
    <row r="7396" spans="1:13" x14ac:dyDescent="0.25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 x14ac:dyDescent="0.25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 x14ac:dyDescent="0.25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 x14ac:dyDescent="0.25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 x14ac:dyDescent="0.25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 x14ac:dyDescent="0.25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</row>
    <row r="7402" spans="1:13" x14ac:dyDescent="0.25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</row>
    <row r="7403" spans="1:13" x14ac:dyDescent="0.25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</row>
    <row r="7404" spans="1:13" x14ac:dyDescent="0.25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</row>
    <row r="7405" spans="1:13" x14ac:dyDescent="0.25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</row>
    <row r="7406" spans="1:13" x14ac:dyDescent="0.25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 x14ac:dyDescent="0.25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 x14ac:dyDescent="0.25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</row>
    <row r="7409" spans="1:13" x14ac:dyDescent="0.25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</row>
    <row r="7410" spans="1:13" x14ac:dyDescent="0.25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 x14ac:dyDescent="0.25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 x14ac:dyDescent="0.25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 x14ac:dyDescent="0.25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 x14ac:dyDescent="0.25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</row>
    <row r="7415" spans="1:13" x14ac:dyDescent="0.25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 x14ac:dyDescent="0.25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 x14ac:dyDescent="0.25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 x14ac:dyDescent="0.25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 x14ac:dyDescent="0.25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 x14ac:dyDescent="0.25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</row>
    <row r="7421" spans="1:13" x14ac:dyDescent="0.25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 x14ac:dyDescent="0.25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</row>
    <row r="7423" spans="1:13" x14ac:dyDescent="0.25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</row>
    <row r="7424" spans="1:13" x14ac:dyDescent="0.25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</row>
    <row r="7425" spans="1:13" x14ac:dyDescent="0.25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</row>
    <row r="7426" spans="1:13" x14ac:dyDescent="0.25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 x14ac:dyDescent="0.25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 x14ac:dyDescent="0.25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 x14ac:dyDescent="0.25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</row>
    <row r="7430" spans="1:13" x14ac:dyDescent="0.25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</row>
    <row r="7431" spans="1:13" x14ac:dyDescent="0.25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 x14ac:dyDescent="0.25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</row>
    <row r="7433" spans="1:13" x14ac:dyDescent="0.25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 x14ac:dyDescent="0.25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 x14ac:dyDescent="0.25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 x14ac:dyDescent="0.25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</row>
    <row r="7437" spans="1:13" x14ac:dyDescent="0.25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</row>
    <row r="7438" spans="1:13" x14ac:dyDescent="0.25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</row>
    <row r="7439" spans="1:13" x14ac:dyDescent="0.25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</row>
    <row r="7440" spans="1:13" x14ac:dyDescent="0.25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 x14ac:dyDescent="0.25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 x14ac:dyDescent="0.25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</row>
    <row r="7443" spans="1:13" x14ac:dyDescent="0.25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</row>
    <row r="7444" spans="1:13" x14ac:dyDescent="0.25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 x14ac:dyDescent="0.25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</row>
    <row r="7446" spans="1:13" x14ac:dyDescent="0.25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 x14ac:dyDescent="0.25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 x14ac:dyDescent="0.25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</row>
    <row r="7449" spans="1:13" x14ac:dyDescent="0.25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</row>
    <row r="7450" spans="1:13" x14ac:dyDescent="0.25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</row>
    <row r="7451" spans="1:13" x14ac:dyDescent="0.25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 x14ac:dyDescent="0.25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</row>
    <row r="7453" spans="1:13" x14ac:dyDescent="0.25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 x14ac:dyDescent="0.25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</row>
    <row r="7455" spans="1:13" x14ac:dyDescent="0.25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 x14ac:dyDescent="0.25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</row>
    <row r="7457" spans="1:13" x14ac:dyDescent="0.25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</row>
    <row r="7458" spans="1:13" x14ac:dyDescent="0.25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</row>
    <row r="7459" spans="1:13" x14ac:dyDescent="0.25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</row>
    <row r="7460" spans="1:13" x14ac:dyDescent="0.25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 x14ac:dyDescent="0.25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</row>
    <row r="7462" spans="1:13" x14ac:dyDescent="0.25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</row>
    <row r="7463" spans="1:13" x14ac:dyDescent="0.25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 x14ac:dyDescent="0.25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</row>
    <row r="7465" spans="1:13" x14ac:dyDescent="0.25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</row>
    <row r="7466" spans="1:13" x14ac:dyDescent="0.25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</row>
    <row r="7467" spans="1:13" x14ac:dyDescent="0.25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 x14ac:dyDescent="0.25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</row>
    <row r="7469" spans="1:13" x14ac:dyDescent="0.25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</row>
    <row r="7470" spans="1:13" x14ac:dyDescent="0.25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 x14ac:dyDescent="0.25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</row>
    <row r="7472" spans="1:13" x14ac:dyDescent="0.25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</row>
    <row r="7473" spans="1:13" x14ac:dyDescent="0.25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</row>
    <row r="7474" spans="1:13" x14ac:dyDescent="0.25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</row>
    <row r="7475" spans="1:13" x14ac:dyDescent="0.25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 x14ac:dyDescent="0.25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</row>
    <row r="7477" spans="1:13" x14ac:dyDescent="0.25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</row>
    <row r="7478" spans="1:13" x14ac:dyDescent="0.25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</row>
    <row r="7479" spans="1:13" x14ac:dyDescent="0.25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</row>
    <row r="7480" spans="1:13" x14ac:dyDescent="0.25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</row>
    <row r="7481" spans="1:13" x14ac:dyDescent="0.25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 x14ac:dyDescent="0.25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</row>
    <row r="7483" spans="1:13" x14ac:dyDescent="0.25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</row>
    <row r="7484" spans="1:13" x14ac:dyDescent="0.25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</row>
    <row r="7485" spans="1:13" x14ac:dyDescent="0.25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 x14ac:dyDescent="0.25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 x14ac:dyDescent="0.25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 x14ac:dyDescent="0.25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</row>
    <row r="7489" spans="1:13" x14ac:dyDescent="0.25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</row>
    <row r="7490" spans="1:13" x14ac:dyDescent="0.25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</row>
    <row r="7491" spans="1:13" x14ac:dyDescent="0.25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 x14ac:dyDescent="0.25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</row>
    <row r="7493" spans="1:13" x14ac:dyDescent="0.25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</row>
    <row r="7494" spans="1:13" x14ac:dyDescent="0.25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 x14ac:dyDescent="0.25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</row>
    <row r="7496" spans="1:13" x14ac:dyDescent="0.25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</row>
    <row r="7497" spans="1:13" x14ac:dyDescent="0.25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</row>
    <row r="7498" spans="1:13" x14ac:dyDescent="0.25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</row>
    <row r="7499" spans="1:13" x14ac:dyDescent="0.25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</row>
    <row r="7500" spans="1:13" x14ac:dyDescent="0.25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</row>
    <row r="7501" spans="1:13" x14ac:dyDescent="0.25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 x14ac:dyDescent="0.25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 x14ac:dyDescent="0.25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</row>
    <row r="7504" spans="1:13" x14ac:dyDescent="0.25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 x14ac:dyDescent="0.25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 x14ac:dyDescent="0.25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</row>
    <row r="7507" spans="1:13" x14ac:dyDescent="0.25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</row>
    <row r="7508" spans="1:13" x14ac:dyDescent="0.25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</row>
    <row r="7509" spans="1:13" x14ac:dyDescent="0.25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</row>
    <row r="7510" spans="1:13" x14ac:dyDescent="0.25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 x14ac:dyDescent="0.25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</row>
    <row r="7512" spans="1:13" x14ac:dyDescent="0.25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 x14ac:dyDescent="0.25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</row>
    <row r="7514" spans="1:13" x14ac:dyDescent="0.25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 x14ac:dyDescent="0.25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 x14ac:dyDescent="0.25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</row>
    <row r="7517" spans="1:13" x14ac:dyDescent="0.25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</row>
    <row r="7518" spans="1:13" x14ac:dyDescent="0.25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</row>
    <row r="7519" spans="1:13" x14ac:dyDescent="0.25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</row>
    <row r="7520" spans="1:13" x14ac:dyDescent="0.25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</row>
    <row r="7521" spans="1:13" x14ac:dyDescent="0.25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 x14ac:dyDescent="0.25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</row>
    <row r="7523" spans="1:13" x14ac:dyDescent="0.25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 x14ac:dyDescent="0.25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 x14ac:dyDescent="0.25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 x14ac:dyDescent="0.25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 x14ac:dyDescent="0.25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 x14ac:dyDescent="0.25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</row>
    <row r="7529" spans="1:13" x14ac:dyDescent="0.25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 x14ac:dyDescent="0.25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</row>
    <row r="7531" spans="1:13" x14ac:dyDescent="0.25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 x14ac:dyDescent="0.25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</row>
    <row r="7533" spans="1:13" x14ac:dyDescent="0.25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</row>
    <row r="7534" spans="1:13" x14ac:dyDescent="0.25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</row>
    <row r="7535" spans="1:13" x14ac:dyDescent="0.25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</row>
    <row r="7536" spans="1:13" x14ac:dyDescent="0.25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 x14ac:dyDescent="0.25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</row>
    <row r="7538" spans="1:13" x14ac:dyDescent="0.25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</row>
    <row r="7539" spans="1:13" x14ac:dyDescent="0.25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 x14ac:dyDescent="0.25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</row>
    <row r="7541" spans="1:13" x14ac:dyDescent="0.25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 x14ac:dyDescent="0.25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</row>
    <row r="7543" spans="1:13" x14ac:dyDescent="0.25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</row>
    <row r="7544" spans="1:13" x14ac:dyDescent="0.25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 x14ac:dyDescent="0.25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</row>
    <row r="7546" spans="1:13" x14ac:dyDescent="0.25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</row>
    <row r="7547" spans="1:13" x14ac:dyDescent="0.25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 x14ac:dyDescent="0.25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</row>
    <row r="7549" spans="1:13" x14ac:dyDescent="0.25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</row>
    <row r="7550" spans="1:13" x14ac:dyDescent="0.25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</row>
    <row r="7551" spans="1:13" x14ac:dyDescent="0.25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</row>
    <row r="7552" spans="1:13" x14ac:dyDescent="0.25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</row>
    <row r="7553" spans="1:13" x14ac:dyDescent="0.25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</row>
    <row r="7554" spans="1:13" x14ac:dyDescent="0.25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</row>
    <row r="7555" spans="1:13" x14ac:dyDescent="0.25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</row>
    <row r="7556" spans="1:13" x14ac:dyDescent="0.25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</row>
    <row r="7557" spans="1:13" x14ac:dyDescent="0.25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 x14ac:dyDescent="0.25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</row>
    <row r="7559" spans="1:13" x14ac:dyDescent="0.25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 x14ac:dyDescent="0.25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 x14ac:dyDescent="0.25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 x14ac:dyDescent="0.25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</row>
    <row r="7563" spans="1:13" x14ac:dyDescent="0.25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</row>
    <row r="7564" spans="1:13" x14ac:dyDescent="0.25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</row>
    <row r="7565" spans="1:13" x14ac:dyDescent="0.25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 x14ac:dyDescent="0.25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</row>
    <row r="7567" spans="1:13" x14ac:dyDescent="0.25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</row>
    <row r="7568" spans="1:13" x14ac:dyDescent="0.25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</row>
    <row r="7569" spans="1:13" x14ac:dyDescent="0.25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 x14ac:dyDescent="0.25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</row>
    <row r="7571" spans="1:13" x14ac:dyDescent="0.25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</row>
    <row r="7572" spans="1:13" x14ac:dyDescent="0.25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</row>
    <row r="7573" spans="1:13" x14ac:dyDescent="0.25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 x14ac:dyDescent="0.25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 x14ac:dyDescent="0.25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</row>
    <row r="7576" spans="1:13" x14ac:dyDescent="0.25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</row>
    <row r="7577" spans="1:13" x14ac:dyDescent="0.25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 x14ac:dyDescent="0.25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</row>
    <row r="7579" spans="1:13" x14ac:dyDescent="0.25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</row>
    <row r="7580" spans="1:13" x14ac:dyDescent="0.25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</row>
    <row r="7581" spans="1:13" x14ac:dyDescent="0.25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 x14ac:dyDescent="0.25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 x14ac:dyDescent="0.25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</row>
    <row r="7584" spans="1:13" x14ac:dyDescent="0.25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 x14ac:dyDescent="0.25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 x14ac:dyDescent="0.25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</row>
    <row r="7587" spans="1:13" x14ac:dyDescent="0.25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 x14ac:dyDescent="0.25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</row>
    <row r="7589" spans="1:13" x14ac:dyDescent="0.25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 x14ac:dyDescent="0.25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</row>
    <row r="7591" spans="1:13" x14ac:dyDescent="0.25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 x14ac:dyDescent="0.25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</row>
    <row r="7593" spans="1:13" x14ac:dyDescent="0.25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</row>
    <row r="7594" spans="1:13" x14ac:dyDescent="0.25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</row>
    <row r="7595" spans="1:13" x14ac:dyDescent="0.25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 x14ac:dyDescent="0.25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</row>
    <row r="7597" spans="1:13" x14ac:dyDescent="0.25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 x14ac:dyDescent="0.25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</row>
    <row r="7599" spans="1:13" x14ac:dyDescent="0.25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 x14ac:dyDescent="0.25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</row>
    <row r="7601" spans="1:13" x14ac:dyDescent="0.25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</row>
    <row r="7602" spans="1:13" x14ac:dyDescent="0.25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 x14ac:dyDescent="0.25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 x14ac:dyDescent="0.25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</row>
    <row r="7605" spans="1:13" x14ac:dyDescent="0.25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</row>
    <row r="7606" spans="1:13" x14ac:dyDescent="0.25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</row>
    <row r="7607" spans="1:13" x14ac:dyDescent="0.25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 x14ac:dyDescent="0.25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</row>
    <row r="7609" spans="1:13" x14ac:dyDescent="0.25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</row>
    <row r="7610" spans="1:13" x14ac:dyDescent="0.25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 x14ac:dyDescent="0.25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 x14ac:dyDescent="0.25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 x14ac:dyDescent="0.25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 x14ac:dyDescent="0.25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</row>
    <row r="7615" spans="1:13" x14ac:dyDescent="0.25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 x14ac:dyDescent="0.25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 x14ac:dyDescent="0.25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</row>
    <row r="7618" spans="1:13" x14ac:dyDescent="0.25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 x14ac:dyDescent="0.25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 x14ac:dyDescent="0.25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 x14ac:dyDescent="0.25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</row>
    <row r="7622" spans="1:13" x14ac:dyDescent="0.25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 x14ac:dyDescent="0.25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</row>
    <row r="7624" spans="1:13" x14ac:dyDescent="0.25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 x14ac:dyDescent="0.25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 x14ac:dyDescent="0.25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 x14ac:dyDescent="0.25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</row>
    <row r="7628" spans="1:13" x14ac:dyDescent="0.25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 x14ac:dyDescent="0.25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</row>
    <row r="7630" spans="1:13" x14ac:dyDescent="0.25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</row>
    <row r="7631" spans="1:13" x14ac:dyDescent="0.25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 x14ac:dyDescent="0.25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 x14ac:dyDescent="0.25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 x14ac:dyDescent="0.25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 x14ac:dyDescent="0.25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 x14ac:dyDescent="0.25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 x14ac:dyDescent="0.25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 x14ac:dyDescent="0.25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</row>
    <row r="7639" spans="1:13" x14ac:dyDescent="0.25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</row>
    <row r="7640" spans="1:13" x14ac:dyDescent="0.25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 x14ac:dyDescent="0.25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 x14ac:dyDescent="0.25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</row>
    <row r="7643" spans="1:13" x14ac:dyDescent="0.25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 x14ac:dyDescent="0.25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</row>
    <row r="7645" spans="1:13" x14ac:dyDescent="0.25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 x14ac:dyDescent="0.25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 x14ac:dyDescent="0.25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</row>
    <row r="7648" spans="1:13" x14ac:dyDescent="0.25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 x14ac:dyDescent="0.25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 x14ac:dyDescent="0.25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 x14ac:dyDescent="0.25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 x14ac:dyDescent="0.25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 x14ac:dyDescent="0.25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</row>
    <row r="7654" spans="1:13" x14ac:dyDescent="0.25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</row>
    <row r="7655" spans="1:13" x14ac:dyDescent="0.25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 x14ac:dyDescent="0.25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 x14ac:dyDescent="0.25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</row>
    <row r="7658" spans="1:13" x14ac:dyDescent="0.25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</row>
    <row r="7659" spans="1:13" x14ac:dyDescent="0.25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</row>
    <row r="7660" spans="1:13" x14ac:dyDescent="0.25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</row>
    <row r="7661" spans="1:13" x14ac:dyDescent="0.25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</row>
    <row r="7662" spans="1:13" x14ac:dyDescent="0.25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</row>
    <row r="7663" spans="1:13" x14ac:dyDescent="0.25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</row>
    <row r="7664" spans="1:13" x14ac:dyDescent="0.25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</row>
    <row r="7665" spans="1:13" x14ac:dyDescent="0.25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</row>
    <row r="7666" spans="1:13" x14ac:dyDescent="0.25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</row>
    <row r="7667" spans="1:13" x14ac:dyDescent="0.25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</row>
    <row r="7668" spans="1:13" x14ac:dyDescent="0.25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</row>
    <row r="7669" spans="1:13" x14ac:dyDescent="0.2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</row>
    <row r="7670" spans="1:13" x14ac:dyDescent="0.25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</row>
    <row r="7671" spans="1:13" x14ac:dyDescent="0.25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</row>
    <row r="7672" spans="1:13" x14ac:dyDescent="0.25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</row>
    <row r="7673" spans="1:13" x14ac:dyDescent="0.25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 x14ac:dyDescent="0.25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</row>
    <row r="7675" spans="1:13" x14ac:dyDescent="0.25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</row>
    <row r="7676" spans="1:13" x14ac:dyDescent="0.25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 x14ac:dyDescent="0.25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 x14ac:dyDescent="0.25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</row>
    <row r="7679" spans="1:13" x14ac:dyDescent="0.25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</row>
    <row r="7680" spans="1:13" x14ac:dyDescent="0.25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</row>
    <row r="7681" spans="1:13" x14ac:dyDescent="0.25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</row>
    <row r="7682" spans="1:13" x14ac:dyDescent="0.25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 x14ac:dyDescent="0.25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</row>
    <row r="7684" spans="1:13" x14ac:dyDescent="0.25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 x14ac:dyDescent="0.25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 x14ac:dyDescent="0.25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 x14ac:dyDescent="0.25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</row>
    <row r="7688" spans="1:13" x14ac:dyDescent="0.25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 x14ac:dyDescent="0.25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</row>
    <row r="7690" spans="1:13" x14ac:dyDescent="0.25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</row>
    <row r="7691" spans="1:13" x14ac:dyDescent="0.25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</row>
    <row r="7692" spans="1:13" x14ac:dyDescent="0.25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</row>
    <row r="7693" spans="1:13" x14ac:dyDescent="0.25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 x14ac:dyDescent="0.25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</row>
    <row r="7695" spans="1:13" x14ac:dyDescent="0.25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</row>
    <row r="7696" spans="1:13" x14ac:dyDescent="0.25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</row>
    <row r="7697" spans="1:13" x14ac:dyDescent="0.25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</row>
    <row r="7698" spans="1:13" x14ac:dyDescent="0.25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</row>
    <row r="7699" spans="1:13" x14ac:dyDescent="0.25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</row>
    <row r="7700" spans="1:13" x14ac:dyDescent="0.25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 x14ac:dyDescent="0.25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</row>
    <row r="7702" spans="1:13" x14ac:dyDescent="0.25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</row>
    <row r="7703" spans="1:13" x14ac:dyDescent="0.25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 x14ac:dyDescent="0.25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</row>
    <row r="7705" spans="1:13" x14ac:dyDescent="0.25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 x14ac:dyDescent="0.25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</row>
    <row r="7707" spans="1:13" x14ac:dyDescent="0.25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 x14ac:dyDescent="0.25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</row>
    <row r="7709" spans="1:13" x14ac:dyDescent="0.25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</row>
    <row r="7710" spans="1:13" x14ac:dyDescent="0.25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</row>
    <row r="7711" spans="1:13" x14ac:dyDescent="0.25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</row>
    <row r="7712" spans="1:13" x14ac:dyDescent="0.25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</row>
    <row r="7713" spans="1:13" x14ac:dyDescent="0.25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 x14ac:dyDescent="0.25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 x14ac:dyDescent="0.25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</row>
    <row r="7716" spans="1:13" x14ac:dyDescent="0.25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 x14ac:dyDescent="0.25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</row>
    <row r="7718" spans="1:13" x14ac:dyDescent="0.25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 x14ac:dyDescent="0.25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</row>
    <row r="7720" spans="1:13" x14ac:dyDescent="0.25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 x14ac:dyDescent="0.25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</row>
    <row r="7722" spans="1:13" x14ac:dyDescent="0.25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 x14ac:dyDescent="0.25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 x14ac:dyDescent="0.25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 x14ac:dyDescent="0.25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 x14ac:dyDescent="0.25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</row>
    <row r="7727" spans="1:13" x14ac:dyDescent="0.25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 x14ac:dyDescent="0.25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</row>
    <row r="7729" spans="1:13" x14ac:dyDescent="0.25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</row>
    <row r="7730" spans="1:13" x14ac:dyDescent="0.25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</row>
    <row r="7731" spans="1:13" x14ac:dyDescent="0.25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 x14ac:dyDescent="0.25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</row>
    <row r="7733" spans="1:13" x14ac:dyDescent="0.25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</row>
    <row r="7734" spans="1:13" x14ac:dyDescent="0.25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</row>
    <row r="7735" spans="1:13" x14ac:dyDescent="0.25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</row>
    <row r="7736" spans="1:13" x14ac:dyDescent="0.25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</row>
    <row r="7737" spans="1:13" x14ac:dyDescent="0.25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</row>
    <row r="7738" spans="1:13" x14ac:dyDescent="0.25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</row>
    <row r="7739" spans="1:13" x14ac:dyDescent="0.25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</row>
    <row r="7740" spans="1:13" x14ac:dyDescent="0.25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</row>
    <row r="7741" spans="1:13" x14ac:dyDescent="0.25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</row>
    <row r="7742" spans="1:13" x14ac:dyDescent="0.25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</row>
    <row r="7743" spans="1:13" x14ac:dyDescent="0.25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 x14ac:dyDescent="0.25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 x14ac:dyDescent="0.25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</row>
    <row r="7746" spans="1:13" x14ac:dyDescent="0.25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 x14ac:dyDescent="0.25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 x14ac:dyDescent="0.25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</row>
    <row r="7749" spans="1:13" x14ac:dyDescent="0.25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</row>
    <row r="7750" spans="1:13" x14ac:dyDescent="0.25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 x14ac:dyDescent="0.25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 x14ac:dyDescent="0.25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 x14ac:dyDescent="0.25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 x14ac:dyDescent="0.25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</row>
    <row r="7755" spans="1:13" x14ac:dyDescent="0.25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 x14ac:dyDescent="0.25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</row>
    <row r="7757" spans="1:13" x14ac:dyDescent="0.25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 x14ac:dyDescent="0.25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</row>
    <row r="7759" spans="1:13" x14ac:dyDescent="0.25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 x14ac:dyDescent="0.25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 x14ac:dyDescent="0.25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</row>
    <row r="7762" spans="1:13" x14ac:dyDescent="0.25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 x14ac:dyDescent="0.25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 x14ac:dyDescent="0.25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</row>
    <row r="7765" spans="1:13" x14ac:dyDescent="0.25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</row>
    <row r="7766" spans="1:13" x14ac:dyDescent="0.25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</row>
    <row r="7767" spans="1:13" x14ac:dyDescent="0.25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</row>
    <row r="7768" spans="1:13" x14ac:dyDescent="0.25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 x14ac:dyDescent="0.25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</row>
    <row r="7770" spans="1:13" x14ac:dyDescent="0.25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</row>
    <row r="7771" spans="1:13" x14ac:dyDescent="0.25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</row>
    <row r="7772" spans="1:13" x14ac:dyDescent="0.25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 x14ac:dyDescent="0.25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</row>
    <row r="7774" spans="1:13" x14ac:dyDescent="0.25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</row>
    <row r="7775" spans="1:13" x14ac:dyDescent="0.25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 x14ac:dyDescent="0.25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</row>
    <row r="7777" spans="1:13" x14ac:dyDescent="0.25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 x14ac:dyDescent="0.25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</row>
    <row r="7779" spans="1:13" x14ac:dyDescent="0.25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 x14ac:dyDescent="0.25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 x14ac:dyDescent="0.25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 x14ac:dyDescent="0.25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 x14ac:dyDescent="0.25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</row>
    <row r="7784" spans="1:13" x14ac:dyDescent="0.25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</row>
    <row r="7785" spans="1:13" x14ac:dyDescent="0.25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 x14ac:dyDescent="0.25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</row>
    <row r="7787" spans="1:13" x14ac:dyDescent="0.25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 x14ac:dyDescent="0.25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 x14ac:dyDescent="0.25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</row>
    <row r="7790" spans="1:13" x14ac:dyDescent="0.25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</row>
    <row r="7791" spans="1:13" x14ac:dyDescent="0.25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 x14ac:dyDescent="0.25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 x14ac:dyDescent="0.25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 x14ac:dyDescent="0.25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 x14ac:dyDescent="0.25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 x14ac:dyDescent="0.25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 x14ac:dyDescent="0.25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 x14ac:dyDescent="0.25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 x14ac:dyDescent="0.25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 x14ac:dyDescent="0.25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 x14ac:dyDescent="0.25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</row>
    <row r="7802" spans="1:13" x14ac:dyDescent="0.25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</row>
    <row r="7803" spans="1:13" x14ac:dyDescent="0.25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</row>
    <row r="7804" spans="1:13" x14ac:dyDescent="0.25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 x14ac:dyDescent="0.25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 x14ac:dyDescent="0.25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</row>
    <row r="7807" spans="1:13" x14ac:dyDescent="0.25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 x14ac:dyDescent="0.25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 x14ac:dyDescent="0.25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</row>
    <row r="7810" spans="1:13" x14ac:dyDescent="0.25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</row>
    <row r="7811" spans="1:13" x14ac:dyDescent="0.25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</row>
    <row r="7812" spans="1:13" x14ac:dyDescent="0.25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</row>
    <row r="7813" spans="1:13" x14ac:dyDescent="0.25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 x14ac:dyDescent="0.25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</row>
    <row r="7815" spans="1:13" x14ac:dyDescent="0.25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</row>
    <row r="7816" spans="1:13" x14ac:dyDescent="0.25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 x14ac:dyDescent="0.25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</row>
    <row r="7818" spans="1:13" x14ac:dyDescent="0.25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</row>
    <row r="7819" spans="1:13" x14ac:dyDescent="0.25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</row>
    <row r="7820" spans="1:13" x14ac:dyDescent="0.25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 x14ac:dyDescent="0.25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 x14ac:dyDescent="0.25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</row>
    <row r="7823" spans="1:13" x14ac:dyDescent="0.25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</row>
    <row r="7824" spans="1:13" x14ac:dyDescent="0.25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 x14ac:dyDescent="0.25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</row>
    <row r="7826" spans="1:13" x14ac:dyDescent="0.25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</row>
    <row r="7827" spans="1:13" x14ac:dyDescent="0.25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 x14ac:dyDescent="0.25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 x14ac:dyDescent="0.25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</row>
    <row r="7830" spans="1:13" x14ac:dyDescent="0.25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</row>
    <row r="7831" spans="1:13" x14ac:dyDescent="0.25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 x14ac:dyDescent="0.25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</row>
    <row r="7833" spans="1:13" x14ac:dyDescent="0.25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</row>
    <row r="7834" spans="1:13" x14ac:dyDescent="0.25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 x14ac:dyDescent="0.25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</row>
    <row r="7836" spans="1:13" x14ac:dyDescent="0.25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</row>
    <row r="7837" spans="1:13" x14ac:dyDescent="0.25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</row>
    <row r="7838" spans="1:13" x14ac:dyDescent="0.25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</row>
    <row r="7839" spans="1:13" x14ac:dyDescent="0.25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 x14ac:dyDescent="0.25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 x14ac:dyDescent="0.25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 x14ac:dyDescent="0.25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 x14ac:dyDescent="0.25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 x14ac:dyDescent="0.25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</row>
    <row r="7845" spans="1:13" x14ac:dyDescent="0.25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</row>
    <row r="7846" spans="1:13" x14ac:dyDescent="0.25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</row>
    <row r="7847" spans="1:13" x14ac:dyDescent="0.25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</row>
    <row r="7848" spans="1:13" x14ac:dyDescent="0.25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</row>
    <row r="7849" spans="1:13" x14ac:dyDescent="0.25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</row>
    <row r="7850" spans="1:13" x14ac:dyDescent="0.25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</row>
    <row r="7851" spans="1:13" x14ac:dyDescent="0.25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 x14ac:dyDescent="0.25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</row>
    <row r="7853" spans="1:13" x14ac:dyDescent="0.25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 x14ac:dyDescent="0.25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 x14ac:dyDescent="0.25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</row>
    <row r="7856" spans="1:13" x14ac:dyDescent="0.25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</row>
    <row r="7857" spans="1:13" x14ac:dyDescent="0.25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</row>
    <row r="7858" spans="1:13" x14ac:dyDescent="0.25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</row>
    <row r="7859" spans="1:13" x14ac:dyDescent="0.25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</row>
    <row r="7860" spans="1:13" x14ac:dyDescent="0.25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</row>
    <row r="7861" spans="1:13" x14ac:dyDescent="0.25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 x14ac:dyDescent="0.25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</row>
    <row r="7863" spans="1:13" x14ac:dyDescent="0.25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</row>
    <row r="7864" spans="1:13" x14ac:dyDescent="0.25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 x14ac:dyDescent="0.25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</row>
    <row r="7866" spans="1:13" x14ac:dyDescent="0.25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</row>
    <row r="7867" spans="1:13" x14ac:dyDescent="0.25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 x14ac:dyDescent="0.25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 x14ac:dyDescent="0.25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</row>
    <row r="7870" spans="1:13" x14ac:dyDescent="0.25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 x14ac:dyDescent="0.25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</row>
    <row r="7872" spans="1:13" x14ac:dyDescent="0.25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</row>
    <row r="7873" spans="1:13" x14ac:dyDescent="0.25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</row>
    <row r="7874" spans="1:13" x14ac:dyDescent="0.25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 x14ac:dyDescent="0.25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 x14ac:dyDescent="0.25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</row>
    <row r="7877" spans="1:13" x14ac:dyDescent="0.25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</row>
    <row r="7878" spans="1:13" x14ac:dyDescent="0.25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</row>
    <row r="7879" spans="1:13" x14ac:dyDescent="0.25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</row>
    <row r="7880" spans="1:13" x14ac:dyDescent="0.25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 x14ac:dyDescent="0.25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 x14ac:dyDescent="0.25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</row>
    <row r="7883" spans="1:13" x14ac:dyDescent="0.25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</row>
    <row r="7884" spans="1:13" x14ac:dyDescent="0.25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</row>
    <row r="7885" spans="1:13" x14ac:dyDescent="0.25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</row>
    <row r="7886" spans="1:13" x14ac:dyDescent="0.25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</row>
    <row r="7887" spans="1:13" x14ac:dyDescent="0.25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</row>
    <row r="7888" spans="1:13" x14ac:dyDescent="0.25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</row>
    <row r="7889" spans="1:13" x14ac:dyDescent="0.25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</row>
    <row r="7890" spans="1:13" x14ac:dyDescent="0.25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 x14ac:dyDescent="0.25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</row>
    <row r="7892" spans="1:13" x14ac:dyDescent="0.25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</row>
    <row r="7893" spans="1:13" x14ac:dyDescent="0.25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 x14ac:dyDescent="0.25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</row>
    <row r="7895" spans="1:13" x14ac:dyDescent="0.25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 x14ac:dyDescent="0.25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 x14ac:dyDescent="0.25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 x14ac:dyDescent="0.25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</row>
    <row r="7899" spans="1:13" x14ac:dyDescent="0.25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</row>
    <row r="7900" spans="1:13" x14ac:dyDescent="0.25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</row>
    <row r="7901" spans="1:13" x14ac:dyDescent="0.25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</row>
    <row r="7902" spans="1:13" x14ac:dyDescent="0.25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</row>
    <row r="7903" spans="1:13" x14ac:dyDescent="0.25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</row>
    <row r="7904" spans="1:13" x14ac:dyDescent="0.25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</row>
    <row r="7905" spans="1:13" x14ac:dyDescent="0.25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</row>
    <row r="7906" spans="1:13" x14ac:dyDescent="0.25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 x14ac:dyDescent="0.25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 x14ac:dyDescent="0.25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 x14ac:dyDescent="0.25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 x14ac:dyDescent="0.25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 x14ac:dyDescent="0.25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</row>
    <row r="7912" spans="1:13" x14ac:dyDescent="0.25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</row>
    <row r="7913" spans="1:13" x14ac:dyDescent="0.25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</row>
    <row r="7914" spans="1:13" x14ac:dyDescent="0.25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 x14ac:dyDescent="0.25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 x14ac:dyDescent="0.25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</row>
    <row r="7917" spans="1:13" x14ac:dyDescent="0.25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</row>
    <row r="7918" spans="1:13" x14ac:dyDescent="0.25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</row>
    <row r="7919" spans="1:13" x14ac:dyDescent="0.25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 x14ac:dyDescent="0.25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</row>
    <row r="7921" spans="1:13" x14ac:dyDescent="0.25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</row>
    <row r="7922" spans="1:13" x14ac:dyDescent="0.25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</row>
    <row r="7923" spans="1:13" x14ac:dyDescent="0.25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</row>
    <row r="7924" spans="1:13" x14ac:dyDescent="0.25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 x14ac:dyDescent="0.25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</row>
    <row r="7926" spans="1:13" x14ac:dyDescent="0.25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</row>
    <row r="7927" spans="1:13" x14ac:dyDescent="0.25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</row>
    <row r="7928" spans="1:13" x14ac:dyDescent="0.25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 x14ac:dyDescent="0.25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 x14ac:dyDescent="0.25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 x14ac:dyDescent="0.25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 x14ac:dyDescent="0.25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 x14ac:dyDescent="0.25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 x14ac:dyDescent="0.25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</row>
    <row r="7935" spans="1:13" x14ac:dyDescent="0.25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</row>
    <row r="7936" spans="1:13" x14ac:dyDescent="0.25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 x14ac:dyDescent="0.25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</row>
    <row r="7938" spans="1:13" x14ac:dyDescent="0.25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</row>
    <row r="7939" spans="1:13" x14ac:dyDescent="0.25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</row>
    <row r="7940" spans="1:13" x14ac:dyDescent="0.25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 x14ac:dyDescent="0.25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</row>
    <row r="7942" spans="1:13" x14ac:dyDescent="0.25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</row>
    <row r="7943" spans="1:13" x14ac:dyDescent="0.25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 x14ac:dyDescent="0.25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</row>
    <row r="7945" spans="1:13" x14ac:dyDescent="0.25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 x14ac:dyDescent="0.25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</row>
    <row r="7947" spans="1:13" x14ac:dyDescent="0.25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</row>
    <row r="7948" spans="1:13" x14ac:dyDescent="0.25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 x14ac:dyDescent="0.25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</row>
    <row r="7950" spans="1:13" x14ac:dyDescent="0.25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</row>
    <row r="7951" spans="1:13" x14ac:dyDescent="0.25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 x14ac:dyDescent="0.25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 x14ac:dyDescent="0.25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 x14ac:dyDescent="0.25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 x14ac:dyDescent="0.25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</row>
    <row r="7956" spans="1:13" x14ac:dyDescent="0.25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</row>
    <row r="7957" spans="1:13" x14ac:dyDescent="0.25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 x14ac:dyDescent="0.25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 x14ac:dyDescent="0.25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 x14ac:dyDescent="0.25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</row>
    <row r="7961" spans="1:13" x14ac:dyDescent="0.25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</row>
    <row r="7962" spans="1:13" x14ac:dyDescent="0.25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 x14ac:dyDescent="0.25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 x14ac:dyDescent="0.25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</row>
    <row r="7965" spans="1:13" x14ac:dyDescent="0.25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</row>
    <row r="7966" spans="1:13" x14ac:dyDescent="0.25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 x14ac:dyDescent="0.25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</row>
    <row r="7968" spans="1:13" x14ac:dyDescent="0.25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</row>
    <row r="7969" spans="1:13" x14ac:dyDescent="0.25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 x14ac:dyDescent="0.25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</row>
    <row r="7971" spans="1:13" x14ac:dyDescent="0.25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</row>
    <row r="7972" spans="1:13" x14ac:dyDescent="0.25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</row>
    <row r="7973" spans="1:13" x14ac:dyDescent="0.25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</row>
    <row r="7974" spans="1:13" x14ac:dyDescent="0.25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 x14ac:dyDescent="0.25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</row>
    <row r="7976" spans="1:13" x14ac:dyDescent="0.25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</row>
    <row r="7977" spans="1:13" x14ac:dyDescent="0.25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 x14ac:dyDescent="0.25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 x14ac:dyDescent="0.25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</row>
    <row r="7980" spans="1:13" x14ac:dyDescent="0.25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</row>
    <row r="7981" spans="1:13" x14ac:dyDescent="0.25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</row>
    <row r="7982" spans="1:13" x14ac:dyDescent="0.25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 x14ac:dyDescent="0.25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</row>
    <row r="7984" spans="1:13" x14ac:dyDescent="0.25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</row>
    <row r="7985" spans="1:13" x14ac:dyDescent="0.25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 x14ac:dyDescent="0.25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 x14ac:dyDescent="0.25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 x14ac:dyDescent="0.25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</row>
    <row r="7989" spans="1:13" x14ac:dyDescent="0.25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</row>
    <row r="7990" spans="1:13" x14ac:dyDescent="0.25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 x14ac:dyDescent="0.25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 x14ac:dyDescent="0.25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</row>
    <row r="7993" spans="1:13" x14ac:dyDescent="0.25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 x14ac:dyDescent="0.25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</row>
    <row r="7995" spans="1:13" x14ac:dyDescent="0.25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</row>
    <row r="7996" spans="1:13" x14ac:dyDescent="0.25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</row>
    <row r="7997" spans="1:13" x14ac:dyDescent="0.25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</row>
    <row r="7998" spans="1:13" x14ac:dyDescent="0.25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</row>
    <row r="7999" spans="1:13" x14ac:dyDescent="0.25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</row>
    <row r="8000" spans="1:13" x14ac:dyDescent="0.25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</row>
    <row r="8001" spans="1:13" x14ac:dyDescent="0.25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 x14ac:dyDescent="0.25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</row>
    <row r="8003" spans="1:13" x14ac:dyDescent="0.25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</row>
    <row r="8004" spans="1:13" x14ac:dyDescent="0.25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</row>
    <row r="8005" spans="1:13" x14ac:dyDescent="0.25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</row>
    <row r="8006" spans="1:13" x14ac:dyDescent="0.25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 x14ac:dyDescent="0.25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 x14ac:dyDescent="0.25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</row>
    <row r="8009" spans="1:13" x14ac:dyDescent="0.25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</row>
    <row r="8010" spans="1:13" x14ac:dyDescent="0.25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</row>
    <row r="8011" spans="1:13" x14ac:dyDescent="0.25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</row>
    <row r="8012" spans="1:13" x14ac:dyDescent="0.25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</row>
    <row r="8013" spans="1:13" x14ac:dyDescent="0.25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 x14ac:dyDescent="0.25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 x14ac:dyDescent="0.25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</row>
    <row r="8016" spans="1:13" x14ac:dyDescent="0.25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</row>
    <row r="8017" spans="1:13" x14ac:dyDescent="0.25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 x14ac:dyDescent="0.25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 x14ac:dyDescent="0.25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 x14ac:dyDescent="0.25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</row>
    <row r="8021" spans="1:13" x14ac:dyDescent="0.25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</row>
    <row r="8022" spans="1:13" x14ac:dyDescent="0.25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</row>
    <row r="8023" spans="1:13" x14ac:dyDescent="0.25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</row>
    <row r="8024" spans="1:13" x14ac:dyDescent="0.25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 x14ac:dyDescent="0.25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 x14ac:dyDescent="0.25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</row>
    <row r="8027" spans="1:13" x14ac:dyDescent="0.25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 x14ac:dyDescent="0.25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 x14ac:dyDescent="0.25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 x14ac:dyDescent="0.25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 x14ac:dyDescent="0.25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 x14ac:dyDescent="0.25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 x14ac:dyDescent="0.25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 x14ac:dyDescent="0.25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</row>
    <row r="8035" spans="1:13" x14ac:dyDescent="0.25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 x14ac:dyDescent="0.25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 x14ac:dyDescent="0.25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</row>
    <row r="8038" spans="1:13" x14ac:dyDescent="0.25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 x14ac:dyDescent="0.25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</row>
    <row r="8040" spans="1:13" x14ac:dyDescent="0.25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 x14ac:dyDescent="0.25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 x14ac:dyDescent="0.25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</row>
    <row r="8043" spans="1:13" x14ac:dyDescent="0.25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</row>
    <row r="8044" spans="1:13" x14ac:dyDescent="0.25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</row>
    <row r="8045" spans="1:13" x14ac:dyDescent="0.25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</row>
    <row r="8046" spans="1:13" x14ac:dyDescent="0.25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 x14ac:dyDescent="0.25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 x14ac:dyDescent="0.25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</row>
    <row r="8049" spans="1:13" x14ac:dyDescent="0.25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</row>
    <row r="8050" spans="1:13" x14ac:dyDescent="0.25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</row>
    <row r="8051" spans="1:13" x14ac:dyDescent="0.25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 x14ac:dyDescent="0.25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 x14ac:dyDescent="0.25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</row>
    <row r="8054" spans="1:13" x14ac:dyDescent="0.25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</row>
    <row r="8055" spans="1:13" x14ac:dyDescent="0.25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 x14ac:dyDescent="0.25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</row>
    <row r="8057" spans="1:13" x14ac:dyDescent="0.25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</row>
    <row r="8058" spans="1:13" x14ac:dyDescent="0.25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 x14ac:dyDescent="0.25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 x14ac:dyDescent="0.25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 x14ac:dyDescent="0.25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 x14ac:dyDescent="0.25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</row>
    <row r="8063" spans="1:13" x14ac:dyDescent="0.25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 x14ac:dyDescent="0.25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</row>
    <row r="8065" spans="1:13" x14ac:dyDescent="0.25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</row>
    <row r="8066" spans="1:13" x14ac:dyDescent="0.25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</row>
    <row r="8067" spans="1:13" x14ac:dyDescent="0.25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</row>
    <row r="8068" spans="1:13" x14ac:dyDescent="0.25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 x14ac:dyDescent="0.25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 x14ac:dyDescent="0.25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</row>
    <row r="8071" spans="1:13" x14ac:dyDescent="0.25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</row>
    <row r="8072" spans="1:13" x14ac:dyDescent="0.25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</row>
    <row r="8073" spans="1:13" x14ac:dyDescent="0.25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</row>
    <row r="8074" spans="1:13" x14ac:dyDescent="0.25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</row>
    <row r="8075" spans="1:13" x14ac:dyDescent="0.25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</row>
    <row r="8076" spans="1:13" x14ac:dyDescent="0.25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</row>
    <row r="8077" spans="1:13" x14ac:dyDescent="0.25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 x14ac:dyDescent="0.25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 x14ac:dyDescent="0.25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</row>
    <row r="8080" spans="1:13" x14ac:dyDescent="0.25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 x14ac:dyDescent="0.25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 x14ac:dyDescent="0.25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</row>
    <row r="8083" spans="1:13" x14ac:dyDescent="0.25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</row>
    <row r="8084" spans="1:13" x14ac:dyDescent="0.25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</row>
    <row r="8085" spans="1:13" x14ac:dyDescent="0.25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</row>
    <row r="8086" spans="1:13" x14ac:dyDescent="0.25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</row>
    <row r="8087" spans="1:13" x14ac:dyDescent="0.25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</row>
    <row r="8088" spans="1:13" x14ac:dyDescent="0.25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 x14ac:dyDescent="0.25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 x14ac:dyDescent="0.25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</row>
    <row r="8091" spans="1:13" x14ac:dyDescent="0.25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</row>
    <row r="8092" spans="1:13" x14ac:dyDescent="0.25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 x14ac:dyDescent="0.25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</row>
    <row r="8094" spans="1:13" x14ac:dyDescent="0.25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</row>
    <row r="8095" spans="1:13" x14ac:dyDescent="0.25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 x14ac:dyDescent="0.25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 x14ac:dyDescent="0.25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 x14ac:dyDescent="0.25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 x14ac:dyDescent="0.25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</row>
    <row r="8100" spans="1:13" x14ac:dyDescent="0.25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 x14ac:dyDescent="0.25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</row>
    <row r="8102" spans="1:13" x14ac:dyDescent="0.25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</row>
    <row r="8103" spans="1:13" x14ac:dyDescent="0.25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 x14ac:dyDescent="0.25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</row>
    <row r="8105" spans="1:13" x14ac:dyDescent="0.2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 x14ac:dyDescent="0.25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 x14ac:dyDescent="0.25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</row>
    <row r="8108" spans="1:13" x14ac:dyDescent="0.25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</row>
    <row r="8109" spans="1:13" x14ac:dyDescent="0.25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 x14ac:dyDescent="0.2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 x14ac:dyDescent="0.25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 x14ac:dyDescent="0.25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</row>
    <row r="8113" spans="1:13" x14ac:dyDescent="0.25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</row>
    <row r="8114" spans="1:13" x14ac:dyDescent="0.25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 x14ac:dyDescent="0.25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 x14ac:dyDescent="0.25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 x14ac:dyDescent="0.25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 x14ac:dyDescent="0.25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</row>
    <row r="8119" spans="1:13" x14ac:dyDescent="0.25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</row>
    <row r="8120" spans="1:13" x14ac:dyDescent="0.25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</row>
    <row r="8121" spans="1:13" x14ac:dyDescent="0.25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</row>
    <row r="8122" spans="1:13" x14ac:dyDescent="0.25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 x14ac:dyDescent="0.25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 x14ac:dyDescent="0.25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 x14ac:dyDescent="0.25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</row>
    <row r="8126" spans="1:13" x14ac:dyDescent="0.25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 x14ac:dyDescent="0.25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</row>
    <row r="8128" spans="1:13" x14ac:dyDescent="0.25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 x14ac:dyDescent="0.25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 x14ac:dyDescent="0.25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 x14ac:dyDescent="0.25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 x14ac:dyDescent="0.25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 x14ac:dyDescent="0.25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 x14ac:dyDescent="0.25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</row>
    <row r="8135" spans="1:13" x14ac:dyDescent="0.25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</row>
    <row r="8136" spans="1:13" x14ac:dyDescent="0.25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 x14ac:dyDescent="0.25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</row>
    <row r="8138" spans="1:13" x14ac:dyDescent="0.25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</row>
    <row r="8139" spans="1:13" x14ac:dyDescent="0.25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 x14ac:dyDescent="0.25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</row>
    <row r="8141" spans="1:13" x14ac:dyDescent="0.25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</row>
    <row r="8142" spans="1:13" x14ac:dyDescent="0.25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</row>
    <row r="8143" spans="1:13" x14ac:dyDescent="0.25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</row>
    <row r="8144" spans="1:13" x14ac:dyDescent="0.25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 x14ac:dyDescent="0.2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</row>
    <row r="8146" spans="1:13" x14ac:dyDescent="0.25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</row>
    <row r="8147" spans="1:13" x14ac:dyDescent="0.25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 x14ac:dyDescent="0.25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</row>
    <row r="8149" spans="1:13" x14ac:dyDescent="0.25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</row>
    <row r="8150" spans="1:13" x14ac:dyDescent="0.25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 x14ac:dyDescent="0.25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 x14ac:dyDescent="0.25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</row>
    <row r="8153" spans="1:13" x14ac:dyDescent="0.25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</row>
    <row r="8154" spans="1:13" x14ac:dyDescent="0.25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 x14ac:dyDescent="0.25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</row>
    <row r="8156" spans="1:13" x14ac:dyDescent="0.25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</row>
    <row r="8157" spans="1:13" x14ac:dyDescent="0.25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</row>
    <row r="8158" spans="1:13" x14ac:dyDescent="0.25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</row>
    <row r="8159" spans="1:13" x14ac:dyDescent="0.25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</row>
    <row r="8160" spans="1:13" x14ac:dyDescent="0.25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 x14ac:dyDescent="0.25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</row>
    <row r="8162" spans="1:13" x14ac:dyDescent="0.25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</row>
    <row r="8163" spans="1:13" x14ac:dyDescent="0.25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</row>
    <row r="8164" spans="1:13" x14ac:dyDescent="0.25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</row>
    <row r="8165" spans="1:13" x14ac:dyDescent="0.25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</row>
    <row r="8166" spans="1:13" x14ac:dyDescent="0.25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</row>
    <row r="8167" spans="1:13" x14ac:dyDescent="0.25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 x14ac:dyDescent="0.25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</row>
    <row r="8169" spans="1:13" x14ac:dyDescent="0.25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</row>
    <row r="8170" spans="1:13" x14ac:dyDescent="0.25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</row>
    <row r="8171" spans="1:13" x14ac:dyDescent="0.25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 x14ac:dyDescent="0.25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</row>
    <row r="8173" spans="1:13" x14ac:dyDescent="0.25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 x14ac:dyDescent="0.25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 x14ac:dyDescent="0.25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</row>
    <row r="8176" spans="1:13" x14ac:dyDescent="0.25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 x14ac:dyDescent="0.25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</row>
    <row r="8178" spans="1:13" x14ac:dyDescent="0.25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 x14ac:dyDescent="0.25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 x14ac:dyDescent="0.25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 x14ac:dyDescent="0.25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 x14ac:dyDescent="0.25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 x14ac:dyDescent="0.25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 x14ac:dyDescent="0.25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 x14ac:dyDescent="0.25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 x14ac:dyDescent="0.25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 x14ac:dyDescent="0.25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</row>
    <row r="8188" spans="1:13" x14ac:dyDescent="0.25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 x14ac:dyDescent="0.25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 x14ac:dyDescent="0.25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 x14ac:dyDescent="0.25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</row>
    <row r="8192" spans="1:13" x14ac:dyDescent="0.25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</row>
    <row r="8193" spans="1:13" x14ac:dyDescent="0.25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</row>
    <row r="8194" spans="1:13" x14ac:dyDescent="0.25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</row>
    <row r="8195" spans="1:13" x14ac:dyDescent="0.25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</row>
    <row r="8196" spans="1:13" x14ac:dyDescent="0.25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 x14ac:dyDescent="0.25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 x14ac:dyDescent="0.25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</row>
    <row r="8199" spans="1:13" x14ac:dyDescent="0.25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</row>
    <row r="8200" spans="1:13" x14ac:dyDescent="0.25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 x14ac:dyDescent="0.25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 x14ac:dyDescent="0.25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</row>
    <row r="8203" spans="1:13" x14ac:dyDescent="0.25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</row>
    <row r="8204" spans="1:13" x14ac:dyDescent="0.25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 x14ac:dyDescent="0.25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 x14ac:dyDescent="0.25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 x14ac:dyDescent="0.25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 x14ac:dyDescent="0.25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</row>
    <row r="8209" spans="1:13" x14ac:dyDescent="0.25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 x14ac:dyDescent="0.25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 x14ac:dyDescent="0.25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</row>
    <row r="8212" spans="1:13" x14ac:dyDescent="0.25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</row>
    <row r="8213" spans="1:13" x14ac:dyDescent="0.25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</row>
    <row r="8214" spans="1:13" x14ac:dyDescent="0.25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</row>
    <row r="8215" spans="1:13" x14ac:dyDescent="0.25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</row>
    <row r="8216" spans="1:13" x14ac:dyDescent="0.25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</row>
    <row r="8217" spans="1:13" x14ac:dyDescent="0.25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</row>
    <row r="8218" spans="1:13" x14ac:dyDescent="0.25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 x14ac:dyDescent="0.25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 x14ac:dyDescent="0.25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</row>
    <row r="8221" spans="1:13" x14ac:dyDescent="0.25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</row>
    <row r="8222" spans="1:13" x14ac:dyDescent="0.25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 x14ac:dyDescent="0.25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 x14ac:dyDescent="0.25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</row>
    <row r="8225" spans="1:13" x14ac:dyDescent="0.25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 x14ac:dyDescent="0.25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 x14ac:dyDescent="0.25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 x14ac:dyDescent="0.25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</row>
    <row r="8229" spans="1:13" x14ac:dyDescent="0.25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</row>
    <row r="8230" spans="1:13" x14ac:dyDescent="0.25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</row>
    <row r="8231" spans="1:13" x14ac:dyDescent="0.25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 x14ac:dyDescent="0.25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 x14ac:dyDescent="0.25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</row>
    <row r="8234" spans="1:13" x14ac:dyDescent="0.25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 x14ac:dyDescent="0.25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 x14ac:dyDescent="0.25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</row>
    <row r="8237" spans="1:13" x14ac:dyDescent="0.25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</row>
    <row r="8238" spans="1:13" x14ac:dyDescent="0.25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</row>
    <row r="8239" spans="1:13" x14ac:dyDescent="0.25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 x14ac:dyDescent="0.25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 x14ac:dyDescent="0.25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 x14ac:dyDescent="0.25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</row>
    <row r="8243" spans="1:13" x14ac:dyDescent="0.25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</row>
    <row r="8244" spans="1:13" x14ac:dyDescent="0.25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 x14ac:dyDescent="0.25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</row>
    <row r="8246" spans="1:13" x14ac:dyDescent="0.25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 x14ac:dyDescent="0.25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</row>
    <row r="8248" spans="1:13" x14ac:dyDescent="0.25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</row>
    <row r="8249" spans="1:13" x14ac:dyDescent="0.25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</row>
    <row r="8250" spans="1:13" x14ac:dyDescent="0.25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 x14ac:dyDescent="0.25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</row>
    <row r="8252" spans="1:13" x14ac:dyDescent="0.25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</row>
    <row r="8253" spans="1:13" x14ac:dyDescent="0.25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 x14ac:dyDescent="0.25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</row>
    <row r="8255" spans="1:13" x14ac:dyDescent="0.25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</row>
    <row r="8256" spans="1:13" x14ac:dyDescent="0.25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</row>
    <row r="8257" spans="1:13" x14ac:dyDescent="0.25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 x14ac:dyDescent="0.25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</row>
    <row r="8259" spans="1:13" x14ac:dyDescent="0.25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</row>
    <row r="8260" spans="1:13" x14ac:dyDescent="0.25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 x14ac:dyDescent="0.25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 x14ac:dyDescent="0.25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</row>
    <row r="8263" spans="1:13" x14ac:dyDescent="0.25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 x14ac:dyDescent="0.25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</row>
    <row r="8265" spans="1:13" x14ac:dyDescent="0.25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</row>
    <row r="8266" spans="1:13" x14ac:dyDescent="0.25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 x14ac:dyDescent="0.25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</row>
    <row r="8268" spans="1:13" x14ac:dyDescent="0.25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 x14ac:dyDescent="0.25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 x14ac:dyDescent="0.25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</row>
    <row r="8271" spans="1:13" x14ac:dyDescent="0.25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</row>
    <row r="8272" spans="1:13" x14ac:dyDescent="0.25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 x14ac:dyDescent="0.25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</row>
    <row r="8274" spans="1:13" x14ac:dyDescent="0.25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</row>
    <row r="8275" spans="1:13" x14ac:dyDescent="0.25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</row>
    <row r="8276" spans="1:13" x14ac:dyDescent="0.25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</row>
    <row r="8277" spans="1:13" x14ac:dyDescent="0.25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</row>
    <row r="8278" spans="1:13" x14ac:dyDescent="0.25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 x14ac:dyDescent="0.25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 x14ac:dyDescent="0.25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 x14ac:dyDescent="0.25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 x14ac:dyDescent="0.25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 x14ac:dyDescent="0.25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 x14ac:dyDescent="0.25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 x14ac:dyDescent="0.25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 x14ac:dyDescent="0.25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 x14ac:dyDescent="0.25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</row>
    <row r="8288" spans="1:13" x14ac:dyDescent="0.25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</row>
    <row r="8289" spans="1:13" x14ac:dyDescent="0.25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 x14ac:dyDescent="0.25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 x14ac:dyDescent="0.25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</row>
    <row r="8292" spans="1:13" x14ac:dyDescent="0.25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 x14ac:dyDescent="0.25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</row>
    <row r="8294" spans="1:13" x14ac:dyDescent="0.25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</row>
    <row r="8295" spans="1:13" x14ac:dyDescent="0.25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</row>
    <row r="8296" spans="1:13" x14ac:dyDescent="0.25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 x14ac:dyDescent="0.25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</row>
    <row r="8298" spans="1:13" x14ac:dyDescent="0.25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 x14ac:dyDescent="0.25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</row>
    <row r="8300" spans="1:13" x14ac:dyDescent="0.25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 x14ac:dyDescent="0.25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</row>
    <row r="8302" spans="1:13" x14ac:dyDescent="0.25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</row>
    <row r="8303" spans="1:13" x14ac:dyDescent="0.25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</row>
    <row r="8304" spans="1:13" x14ac:dyDescent="0.25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</row>
    <row r="8305" spans="1:13" x14ac:dyDescent="0.25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</row>
    <row r="8306" spans="1:13" x14ac:dyDescent="0.25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 x14ac:dyDescent="0.25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</row>
    <row r="8308" spans="1:13" x14ac:dyDescent="0.25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</row>
    <row r="8309" spans="1:13" x14ac:dyDescent="0.25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</row>
    <row r="8310" spans="1:13" x14ac:dyDescent="0.25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</row>
    <row r="8311" spans="1:13" x14ac:dyDescent="0.25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</row>
    <row r="8312" spans="1:13" x14ac:dyDescent="0.25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</row>
    <row r="8313" spans="1:13" x14ac:dyDescent="0.25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</row>
    <row r="8314" spans="1:13" x14ac:dyDescent="0.25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 x14ac:dyDescent="0.25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 x14ac:dyDescent="0.25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 x14ac:dyDescent="0.25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</row>
    <row r="8318" spans="1:13" x14ac:dyDescent="0.25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</row>
    <row r="8319" spans="1:13" x14ac:dyDescent="0.25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</row>
    <row r="8320" spans="1:13" x14ac:dyDescent="0.25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</row>
    <row r="8321" spans="1:13" x14ac:dyDescent="0.25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 x14ac:dyDescent="0.25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</row>
    <row r="8323" spans="1:13" x14ac:dyDescent="0.25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 x14ac:dyDescent="0.25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</row>
    <row r="8325" spans="1:13" x14ac:dyDescent="0.25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</row>
    <row r="8326" spans="1:13" x14ac:dyDescent="0.25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</row>
    <row r="8327" spans="1:13" x14ac:dyDescent="0.25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 x14ac:dyDescent="0.25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</row>
    <row r="8329" spans="1:13" x14ac:dyDescent="0.25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</row>
    <row r="8330" spans="1:13" x14ac:dyDescent="0.25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</row>
    <row r="8331" spans="1:13" x14ac:dyDescent="0.25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 x14ac:dyDescent="0.25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 x14ac:dyDescent="0.25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</row>
    <row r="8334" spans="1:13" x14ac:dyDescent="0.25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</row>
    <row r="8335" spans="1:13" x14ac:dyDescent="0.25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</row>
    <row r="8336" spans="1:13" x14ac:dyDescent="0.25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 x14ac:dyDescent="0.25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</row>
    <row r="8338" spans="1:13" x14ac:dyDescent="0.25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</row>
    <row r="8339" spans="1:13" x14ac:dyDescent="0.25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</row>
    <row r="8340" spans="1:13" x14ac:dyDescent="0.25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 x14ac:dyDescent="0.25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 x14ac:dyDescent="0.25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 x14ac:dyDescent="0.25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</row>
    <row r="8344" spans="1:13" x14ac:dyDescent="0.25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</row>
    <row r="8345" spans="1:13" x14ac:dyDescent="0.25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</row>
    <row r="8346" spans="1:13" x14ac:dyDescent="0.25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</row>
    <row r="8347" spans="1:13" x14ac:dyDescent="0.25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</row>
    <row r="8348" spans="1:13" x14ac:dyDescent="0.25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 x14ac:dyDescent="0.25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</row>
    <row r="8350" spans="1:13" x14ac:dyDescent="0.25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 x14ac:dyDescent="0.25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 x14ac:dyDescent="0.25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 x14ac:dyDescent="0.25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 x14ac:dyDescent="0.25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 x14ac:dyDescent="0.25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</row>
    <row r="8356" spans="1:13" x14ac:dyDescent="0.25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 x14ac:dyDescent="0.25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 x14ac:dyDescent="0.25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 x14ac:dyDescent="0.25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</row>
    <row r="8360" spans="1:13" x14ac:dyDescent="0.25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</row>
    <row r="8361" spans="1:13" x14ac:dyDescent="0.25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</row>
    <row r="8362" spans="1:13" x14ac:dyDescent="0.25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</row>
    <row r="8363" spans="1:13" x14ac:dyDescent="0.25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 x14ac:dyDescent="0.25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 x14ac:dyDescent="0.25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</row>
    <row r="8366" spans="1:13" x14ac:dyDescent="0.25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</row>
    <row r="8367" spans="1:13" x14ac:dyDescent="0.25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 x14ac:dyDescent="0.25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 x14ac:dyDescent="0.25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 x14ac:dyDescent="0.25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</row>
    <row r="8371" spans="1:13" x14ac:dyDescent="0.25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 x14ac:dyDescent="0.25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</row>
    <row r="8373" spans="1:13" x14ac:dyDescent="0.25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</row>
    <row r="8374" spans="1:13" x14ac:dyDescent="0.25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 x14ac:dyDescent="0.25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</row>
    <row r="8376" spans="1:13" x14ac:dyDescent="0.25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 x14ac:dyDescent="0.25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 x14ac:dyDescent="0.25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</row>
    <row r="8379" spans="1:13" x14ac:dyDescent="0.25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</row>
    <row r="8380" spans="1:13" x14ac:dyDescent="0.25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</row>
    <row r="8381" spans="1:13" x14ac:dyDescent="0.25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</row>
    <row r="8382" spans="1:13" x14ac:dyDescent="0.25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</row>
    <row r="8383" spans="1:13" x14ac:dyDescent="0.25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 x14ac:dyDescent="0.25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 x14ac:dyDescent="0.25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 x14ac:dyDescent="0.25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 x14ac:dyDescent="0.25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</row>
    <row r="8388" spans="1:13" x14ac:dyDescent="0.25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</row>
    <row r="8389" spans="1:13" x14ac:dyDescent="0.25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</row>
    <row r="8390" spans="1:13" x14ac:dyDescent="0.25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</row>
    <row r="8391" spans="1:13" x14ac:dyDescent="0.25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</row>
    <row r="8392" spans="1:13" x14ac:dyDescent="0.25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</row>
    <row r="8393" spans="1:13" x14ac:dyDescent="0.25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</row>
    <row r="8394" spans="1:13" x14ac:dyDescent="0.25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 x14ac:dyDescent="0.25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</row>
    <row r="8396" spans="1:13" x14ac:dyDescent="0.25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</row>
    <row r="8397" spans="1:13" x14ac:dyDescent="0.25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 x14ac:dyDescent="0.25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 x14ac:dyDescent="0.25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</row>
    <row r="8400" spans="1:13" x14ac:dyDescent="0.25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 x14ac:dyDescent="0.25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</row>
    <row r="8402" spans="1:13" x14ac:dyDescent="0.25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 x14ac:dyDescent="0.25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</row>
    <row r="8404" spans="1:13" x14ac:dyDescent="0.25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 x14ac:dyDescent="0.25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 x14ac:dyDescent="0.25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 x14ac:dyDescent="0.25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 x14ac:dyDescent="0.25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</row>
    <row r="8409" spans="1:13" x14ac:dyDescent="0.25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</row>
    <row r="8410" spans="1:13" x14ac:dyDescent="0.25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 x14ac:dyDescent="0.25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 x14ac:dyDescent="0.25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</row>
    <row r="8413" spans="1:13" x14ac:dyDescent="0.25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</row>
    <row r="8414" spans="1:13" x14ac:dyDescent="0.25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 x14ac:dyDescent="0.25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</row>
    <row r="8416" spans="1:13" x14ac:dyDescent="0.25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</row>
    <row r="8417" spans="1:13" x14ac:dyDescent="0.25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</row>
    <row r="8418" spans="1:13" x14ac:dyDescent="0.25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 x14ac:dyDescent="0.25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 x14ac:dyDescent="0.25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 x14ac:dyDescent="0.25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</row>
    <row r="8422" spans="1:13" x14ac:dyDescent="0.25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 x14ac:dyDescent="0.25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 x14ac:dyDescent="0.25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</row>
    <row r="8425" spans="1:13" x14ac:dyDescent="0.25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</row>
    <row r="8426" spans="1:13" x14ac:dyDescent="0.25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 x14ac:dyDescent="0.25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</row>
    <row r="8428" spans="1:13" x14ac:dyDescent="0.25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 x14ac:dyDescent="0.25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 x14ac:dyDescent="0.25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</row>
    <row r="8431" spans="1:13" x14ac:dyDescent="0.25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</row>
    <row r="8432" spans="1:13" x14ac:dyDescent="0.25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</row>
    <row r="8433" spans="1:13" x14ac:dyDescent="0.25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 x14ac:dyDescent="0.25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</row>
    <row r="8435" spans="1:13" x14ac:dyDescent="0.25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</row>
    <row r="8436" spans="1:13" x14ac:dyDescent="0.25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</row>
    <row r="8437" spans="1:13" x14ac:dyDescent="0.25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</row>
    <row r="8438" spans="1:13" x14ac:dyDescent="0.25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 x14ac:dyDescent="0.25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 x14ac:dyDescent="0.25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 x14ac:dyDescent="0.25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 x14ac:dyDescent="0.25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 x14ac:dyDescent="0.25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 x14ac:dyDescent="0.25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</row>
    <row r="8445" spans="1:13" x14ac:dyDescent="0.25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 x14ac:dyDescent="0.25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</row>
    <row r="8447" spans="1:13" x14ac:dyDescent="0.25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</row>
    <row r="8448" spans="1:13" x14ac:dyDescent="0.25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</row>
    <row r="8449" spans="1:13" x14ac:dyDescent="0.25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</row>
    <row r="8450" spans="1:13" x14ac:dyDescent="0.25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 x14ac:dyDescent="0.25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</row>
    <row r="8452" spans="1:13" x14ac:dyDescent="0.25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 x14ac:dyDescent="0.25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 x14ac:dyDescent="0.25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 x14ac:dyDescent="0.25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</row>
    <row r="8456" spans="1:13" x14ac:dyDescent="0.25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 x14ac:dyDescent="0.25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</row>
    <row r="8458" spans="1:13" x14ac:dyDescent="0.25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 x14ac:dyDescent="0.25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</row>
    <row r="8460" spans="1:13" x14ac:dyDescent="0.25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 x14ac:dyDescent="0.25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</row>
    <row r="8462" spans="1:13" x14ac:dyDescent="0.25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 x14ac:dyDescent="0.25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</row>
    <row r="8464" spans="1:13" x14ac:dyDescent="0.25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 x14ac:dyDescent="0.25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</row>
    <row r="8466" spans="1:13" x14ac:dyDescent="0.25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</row>
    <row r="8467" spans="1:13" x14ac:dyDescent="0.25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</row>
    <row r="8468" spans="1:13" x14ac:dyDescent="0.25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 x14ac:dyDescent="0.25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 x14ac:dyDescent="0.25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 x14ac:dyDescent="0.25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</row>
    <row r="8472" spans="1:13" x14ac:dyDescent="0.25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</row>
    <row r="8473" spans="1:13" x14ac:dyDescent="0.25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</row>
    <row r="8474" spans="1:13" x14ac:dyDescent="0.25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</row>
    <row r="8475" spans="1:13" x14ac:dyDescent="0.25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</row>
    <row r="8476" spans="1:13" x14ac:dyDescent="0.25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 x14ac:dyDescent="0.25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</row>
    <row r="8478" spans="1:13" x14ac:dyDescent="0.25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 x14ac:dyDescent="0.25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</row>
    <row r="8480" spans="1:13" x14ac:dyDescent="0.25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</row>
    <row r="8481" spans="1:13" x14ac:dyDescent="0.25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</row>
    <row r="8482" spans="1:13" x14ac:dyDescent="0.25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 x14ac:dyDescent="0.25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 x14ac:dyDescent="0.25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</row>
    <row r="8485" spans="1:13" x14ac:dyDescent="0.25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 x14ac:dyDescent="0.25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</row>
    <row r="8487" spans="1:13" x14ac:dyDescent="0.25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 x14ac:dyDescent="0.25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 x14ac:dyDescent="0.25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</row>
    <row r="8490" spans="1:13" x14ac:dyDescent="0.25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 x14ac:dyDescent="0.25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</row>
    <row r="8492" spans="1:13" x14ac:dyDescent="0.25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</row>
    <row r="8493" spans="1:13" x14ac:dyDescent="0.25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 x14ac:dyDescent="0.25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</row>
    <row r="8495" spans="1:13" x14ac:dyDescent="0.25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</row>
    <row r="8496" spans="1:13" x14ac:dyDescent="0.25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</row>
    <row r="8497" spans="1:13" x14ac:dyDescent="0.25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</row>
    <row r="8498" spans="1:13" x14ac:dyDescent="0.25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</row>
    <row r="8499" spans="1:13" x14ac:dyDescent="0.25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</row>
    <row r="8500" spans="1:13" x14ac:dyDescent="0.25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 x14ac:dyDescent="0.25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 x14ac:dyDescent="0.25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</row>
    <row r="8503" spans="1:13" x14ac:dyDescent="0.25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 x14ac:dyDescent="0.25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</row>
    <row r="8505" spans="1:13" x14ac:dyDescent="0.25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 x14ac:dyDescent="0.25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 x14ac:dyDescent="0.25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 x14ac:dyDescent="0.25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</row>
    <row r="8509" spans="1:13" x14ac:dyDescent="0.25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 x14ac:dyDescent="0.25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</row>
    <row r="8511" spans="1:13" x14ac:dyDescent="0.25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 x14ac:dyDescent="0.25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 x14ac:dyDescent="0.25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 x14ac:dyDescent="0.25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 x14ac:dyDescent="0.25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 x14ac:dyDescent="0.25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 x14ac:dyDescent="0.25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</row>
    <row r="8518" spans="1:13" x14ac:dyDescent="0.25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</row>
    <row r="8519" spans="1:13" x14ac:dyDescent="0.25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</row>
    <row r="8520" spans="1:13" x14ac:dyDescent="0.25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 x14ac:dyDescent="0.25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</row>
    <row r="8522" spans="1:13" x14ac:dyDescent="0.25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 x14ac:dyDescent="0.25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</row>
    <row r="8524" spans="1:13" x14ac:dyDescent="0.25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</row>
    <row r="8525" spans="1:13" x14ac:dyDescent="0.25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</row>
    <row r="8526" spans="1:13" x14ac:dyDescent="0.25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 x14ac:dyDescent="0.25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 x14ac:dyDescent="0.25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</row>
    <row r="8529" spans="1:13" x14ac:dyDescent="0.25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 x14ac:dyDescent="0.25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</row>
    <row r="8531" spans="1:13" x14ac:dyDescent="0.25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</row>
    <row r="8532" spans="1:13" x14ac:dyDescent="0.25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 x14ac:dyDescent="0.25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 x14ac:dyDescent="0.25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</row>
    <row r="8535" spans="1:13" x14ac:dyDescent="0.25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</row>
    <row r="8536" spans="1:13" x14ac:dyDescent="0.25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 x14ac:dyDescent="0.25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</row>
    <row r="8538" spans="1:13" x14ac:dyDescent="0.25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 x14ac:dyDescent="0.25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 x14ac:dyDescent="0.25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</row>
    <row r="8541" spans="1:13" x14ac:dyDescent="0.25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</row>
    <row r="8542" spans="1:13" x14ac:dyDescent="0.25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</row>
    <row r="8543" spans="1:13" x14ac:dyDescent="0.25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 x14ac:dyDescent="0.25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 x14ac:dyDescent="0.25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 x14ac:dyDescent="0.25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 x14ac:dyDescent="0.25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</row>
    <row r="8548" spans="1:13" x14ac:dyDescent="0.25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</row>
    <row r="8549" spans="1:13" x14ac:dyDescent="0.25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 x14ac:dyDescent="0.25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 x14ac:dyDescent="0.25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 x14ac:dyDescent="0.25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 x14ac:dyDescent="0.25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</row>
    <row r="8554" spans="1:13" x14ac:dyDescent="0.25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 x14ac:dyDescent="0.25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</row>
    <row r="8556" spans="1:13" x14ac:dyDescent="0.25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 x14ac:dyDescent="0.25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 x14ac:dyDescent="0.25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</row>
    <row r="8559" spans="1:13" x14ac:dyDescent="0.25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 x14ac:dyDescent="0.25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 x14ac:dyDescent="0.25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</row>
    <row r="8562" spans="1:13" x14ac:dyDescent="0.25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</row>
    <row r="8563" spans="1:13" x14ac:dyDescent="0.25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</row>
    <row r="8564" spans="1:13" x14ac:dyDescent="0.25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</row>
    <row r="8565" spans="1:13" x14ac:dyDescent="0.25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</row>
    <row r="8566" spans="1:13" x14ac:dyDescent="0.25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</row>
    <row r="8567" spans="1:13" x14ac:dyDescent="0.25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 x14ac:dyDescent="0.25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 x14ac:dyDescent="0.25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 x14ac:dyDescent="0.25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</row>
    <row r="8571" spans="1:13" x14ac:dyDescent="0.25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 x14ac:dyDescent="0.25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 x14ac:dyDescent="0.25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 x14ac:dyDescent="0.25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 x14ac:dyDescent="0.25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</row>
    <row r="8576" spans="1:13" x14ac:dyDescent="0.25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 x14ac:dyDescent="0.25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</row>
    <row r="8578" spans="1:13" x14ac:dyDescent="0.25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</row>
    <row r="8579" spans="1:13" x14ac:dyDescent="0.25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</row>
    <row r="8580" spans="1:13" x14ac:dyDescent="0.25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</row>
    <row r="8581" spans="1:13" x14ac:dyDescent="0.25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</row>
    <row r="8582" spans="1:13" x14ac:dyDescent="0.25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</row>
    <row r="8583" spans="1:13" x14ac:dyDescent="0.25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</row>
    <row r="8584" spans="1:13" x14ac:dyDescent="0.25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 x14ac:dyDescent="0.25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 x14ac:dyDescent="0.25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 x14ac:dyDescent="0.25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</row>
    <row r="8588" spans="1:13" x14ac:dyDescent="0.25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 x14ac:dyDescent="0.25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 x14ac:dyDescent="0.25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 x14ac:dyDescent="0.25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</row>
    <row r="8592" spans="1:13" x14ac:dyDescent="0.25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 x14ac:dyDescent="0.25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</row>
    <row r="8594" spans="1:13" x14ac:dyDescent="0.25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 x14ac:dyDescent="0.25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</row>
    <row r="8596" spans="1:13" x14ac:dyDescent="0.25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</row>
    <row r="8597" spans="1:13" x14ac:dyDescent="0.25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 x14ac:dyDescent="0.25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</row>
    <row r="8599" spans="1:13" x14ac:dyDescent="0.25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</row>
    <row r="8600" spans="1:13" x14ac:dyDescent="0.25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</row>
    <row r="8601" spans="1:13" x14ac:dyDescent="0.25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 x14ac:dyDescent="0.25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 x14ac:dyDescent="0.25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</row>
    <row r="8604" spans="1:13" x14ac:dyDescent="0.25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</row>
    <row r="8605" spans="1:13" x14ac:dyDescent="0.25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 x14ac:dyDescent="0.25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</row>
    <row r="8607" spans="1:13" x14ac:dyDescent="0.25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 x14ac:dyDescent="0.25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</row>
    <row r="8609" spans="1:13" x14ac:dyDescent="0.25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 x14ac:dyDescent="0.25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</row>
    <row r="8611" spans="1:13" x14ac:dyDescent="0.25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 x14ac:dyDescent="0.25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 x14ac:dyDescent="0.25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</row>
    <row r="8614" spans="1:13" x14ac:dyDescent="0.25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 x14ac:dyDescent="0.25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</row>
    <row r="8616" spans="1:13" x14ac:dyDescent="0.25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 x14ac:dyDescent="0.25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</row>
    <row r="8618" spans="1:13" x14ac:dyDescent="0.25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</row>
    <row r="8619" spans="1:13" x14ac:dyDescent="0.25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</row>
    <row r="8620" spans="1:13" x14ac:dyDescent="0.25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 x14ac:dyDescent="0.25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</row>
    <row r="8622" spans="1:13" x14ac:dyDescent="0.25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 x14ac:dyDescent="0.25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</row>
    <row r="8624" spans="1:13" x14ac:dyDescent="0.25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</row>
    <row r="8625" spans="1:13" x14ac:dyDescent="0.25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</row>
    <row r="8626" spans="1:13" x14ac:dyDescent="0.25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 x14ac:dyDescent="0.25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</row>
    <row r="8628" spans="1:13" x14ac:dyDescent="0.25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 x14ac:dyDescent="0.25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 x14ac:dyDescent="0.25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</row>
    <row r="8631" spans="1:13" x14ac:dyDescent="0.25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 x14ac:dyDescent="0.25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 x14ac:dyDescent="0.25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</row>
    <row r="8634" spans="1:13" x14ac:dyDescent="0.25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</row>
    <row r="8635" spans="1:13" x14ac:dyDescent="0.25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</row>
    <row r="8636" spans="1:13" x14ac:dyDescent="0.25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 x14ac:dyDescent="0.25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 x14ac:dyDescent="0.25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</row>
    <row r="8639" spans="1:13" x14ac:dyDescent="0.25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</row>
    <row r="8640" spans="1:13" x14ac:dyDescent="0.25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</row>
    <row r="8641" spans="1:13" x14ac:dyDescent="0.25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</row>
    <row r="8642" spans="1:13" x14ac:dyDescent="0.25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</row>
    <row r="8643" spans="1:13" x14ac:dyDescent="0.25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</row>
    <row r="8644" spans="1:13" x14ac:dyDescent="0.25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</row>
    <row r="8645" spans="1:13" x14ac:dyDescent="0.25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</row>
    <row r="8646" spans="1:13" x14ac:dyDescent="0.25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 x14ac:dyDescent="0.25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</row>
    <row r="8648" spans="1:13" x14ac:dyDescent="0.25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</row>
    <row r="8649" spans="1:13" x14ac:dyDescent="0.25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 x14ac:dyDescent="0.25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 x14ac:dyDescent="0.25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</row>
    <row r="8652" spans="1:13" x14ac:dyDescent="0.25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</row>
    <row r="8653" spans="1:13" x14ac:dyDescent="0.25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 x14ac:dyDescent="0.25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</row>
    <row r="8655" spans="1:13" x14ac:dyDescent="0.25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</row>
    <row r="8656" spans="1:13" x14ac:dyDescent="0.25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</row>
    <row r="8657" spans="1:13" x14ac:dyDescent="0.25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</row>
    <row r="8658" spans="1:13" x14ac:dyDescent="0.25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</row>
    <row r="8659" spans="1:13" x14ac:dyDescent="0.25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</row>
    <row r="8660" spans="1:13" x14ac:dyDescent="0.25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 x14ac:dyDescent="0.25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 x14ac:dyDescent="0.25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 x14ac:dyDescent="0.25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 x14ac:dyDescent="0.25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 x14ac:dyDescent="0.25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</row>
    <row r="8666" spans="1:13" x14ac:dyDescent="0.25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</row>
    <row r="8667" spans="1:13" x14ac:dyDescent="0.25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</row>
    <row r="8668" spans="1:13" x14ac:dyDescent="0.25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 x14ac:dyDescent="0.25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 x14ac:dyDescent="0.25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 x14ac:dyDescent="0.25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</row>
    <row r="8672" spans="1:13" x14ac:dyDescent="0.25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</row>
    <row r="8673" spans="1:13" x14ac:dyDescent="0.25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</row>
    <row r="8674" spans="1:13" x14ac:dyDescent="0.25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 x14ac:dyDescent="0.25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 x14ac:dyDescent="0.25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</row>
    <row r="8677" spans="1:13" x14ac:dyDescent="0.25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</row>
    <row r="8678" spans="1:13" x14ac:dyDescent="0.25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</row>
    <row r="8679" spans="1:13" x14ac:dyDescent="0.25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 x14ac:dyDescent="0.25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 x14ac:dyDescent="0.25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</row>
    <row r="8682" spans="1:13" x14ac:dyDescent="0.25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 x14ac:dyDescent="0.25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</row>
    <row r="8684" spans="1:13" x14ac:dyDescent="0.25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</row>
    <row r="8685" spans="1:13" x14ac:dyDescent="0.25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 x14ac:dyDescent="0.25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 x14ac:dyDescent="0.25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 x14ac:dyDescent="0.25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 x14ac:dyDescent="0.25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 x14ac:dyDescent="0.25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 x14ac:dyDescent="0.25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</row>
    <row r="8692" spans="1:13" x14ac:dyDescent="0.25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 x14ac:dyDescent="0.25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</row>
    <row r="8694" spans="1:13" x14ac:dyDescent="0.25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 x14ac:dyDescent="0.25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</row>
    <row r="8696" spans="1:13" x14ac:dyDescent="0.25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 x14ac:dyDescent="0.25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 x14ac:dyDescent="0.25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</row>
    <row r="8699" spans="1:13" x14ac:dyDescent="0.25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 x14ac:dyDescent="0.25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 x14ac:dyDescent="0.25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 x14ac:dyDescent="0.25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 x14ac:dyDescent="0.25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 x14ac:dyDescent="0.25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 x14ac:dyDescent="0.25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</row>
    <row r="8706" spans="1:13" x14ac:dyDescent="0.25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 x14ac:dyDescent="0.25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</row>
    <row r="8708" spans="1:13" x14ac:dyDescent="0.25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</row>
    <row r="8709" spans="1:13" x14ac:dyDescent="0.25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 x14ac:dyDescent="0.25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</row>
    <row r="8711" spans="1:13" x14ac:dyDescent="0.25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</row>
    <row r="8712" spans="1:13" x14ac:dyDescent="0.25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 x14ac:dyDescent="0.25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</row>
    <row r="8714" spans="1:13" x14ac:dyDescent="0.25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 x14ac:dyDescent="0.25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 x14ac:dyDescent="0.25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 x14ac:dyDescent="0.25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</row>
    <row r="8718" spans="1:13" x14ac:dyDescent="0.25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 x14ac:dyDescent="0.25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</row>
    <row r="8720" spans="1:13" x14ac:dyDescent="0.25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 x14ac:dyDescent="0.25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</row>
    <row r="8722" spans="1:13" x14ac:dyDescent="0.25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 x14ac:dyDescent="0.25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 x14ac:dyDescent="0.25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</row>
    <row r="8725" spans="1:13" x14ac:dyDescent="0.25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</row>
    <row r="8726" spans="1:13" x14ac:dyDescent="0.25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 x14ac:dyDescent="0.25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 x14ac:dyDescent="0.25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</row>
    <row r="8729" spans="1:13" x14ac:dyDescent="0.25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</row>
    <row r="8730" spans="1:13" x14ac:dyDescent="0.25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</row>
    <row r="8731" spans="1:13" x14ac:dyDescent="0.25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 x14ac:dyDescent="0.25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</row>
    <row r="8733" spans="1:13" x14ac:dyDescent="0.25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</row>
    <row r="8734" spans="1:13" x14ac:dyDescent="0.25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 x14ac:dyDescent="0.25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</row>
    <row r="8736" spans="1:13" x14ac:dyDescent="0.25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 x14ac:dyDescent="0.25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 x14ac:dyDescent="0.25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 x14ac:dyDescent="0.25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</row>
    <row r="8740" spans="1:13" x14ac:dyDescent="0.25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 x14ac:dyDescent="0.25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 x14ac:dyDescent="0.25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 x14ac:dyDescent="0.25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</row>
    <row r="8744" spans="1:13" x14ac:dyDescent="0.25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 x14ac:dyDescent="0.25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</row>
    <row r="8746" spans="1:13" x14ac:dyDescent="0.25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</row>
    <row r="8747" spans="1:13" x14ac:dyDescent="0.25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</row>
    <row r="8748" spans="1:13" x14ac:dyDescent="0.25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 x14ac:dyDescent="0.25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</row>
    <row r="8750" spans="1:13" x14ac:dyDescent="0.25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</row>
    <row r="8751" spans="1:13" x14ac:dyDescent="0.25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</row>
    <row r="8752" spans="1:13" x14ac:dyDescent="0.25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 x14ac:dyDescent="0.25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 x14ac:dyDescent="0.25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 x14ac:dyDescent="0.25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 x14ac:dyDescent="0.25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</row>
    <row r="8757" spans="1:13" x14ac:dyDescent="0.25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</row>
    <row r="8758" spans="1:13" x14ac:dyDescent="0.25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 x14ac:dyDescent="0.25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 x14ac:dyDescent="0.25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 x14ac:dyDescent="0.25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</row>
    <row r="8762" spans="1:13" x14ac:dyDescent="0.25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 x14ac:dyDescent="0.25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</row>
    <row r="8764" spans="1:13" x14ac:dyDescent="0.25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</row>
    <row r="8765" spans="1:13" x14ac:dyDescent="0.25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</row>
    <row r="8766" spans="1:13" x14ac:dyDescent="0.25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</row>
    <row r="8767" spans="1:13" x14ac:dyDescent="0.25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 x14ac:dyDescent="0.25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 x14ac:dyDescent="0.25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 x14ac:dyDescent="0.25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</row>
    <row r="8771" spans="1:13" x14ac:dyDescent="0.25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 x14ac:dyDescent="0.25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 x14ac:dyDescent="0.25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 x14ac:dyDescent="0.25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 x14ac:dyDescent="0.25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 x14ac:dyDescent="0.25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 x14ac:dyDescent="0.25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 x14ac:dyDescent="0.25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 x14ac:dyDescent="0.25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</row>
    <row r="8780" spans="1:13" x14ac:dyDescent="0.25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 x14ac:dyDescent="0.25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</row>
    <row r="8782" spans="1:13" x14ac:dyDescent="0.25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 x14ac:dyDescent="0.25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</row>
    <row r="8784" spans="1:13" x14ac:dyDescent="0.25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</row>
    <row r="8785" spans="1:13" x14ac:dyDescent="0.25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 x14ac:dyDescent="0.25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</row>
    <row r="8787" spans="1:13" x14ac:dyDescent="0.25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</row>
    <row r="8788" spans="1:13" x14ac:dyDescent="0.25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 x14ac:dyDescent="0.25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</row>
    <row r="8790" spans="1:13" x14ac:dyDescent="0.25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 x14ac:dyDescent="0.25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</row>
    <row r="8792" spans="1:13" x14ac:dyDescent="0.25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 x14ac:dyDescent="0.25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</row>
    <row r="8794" spans="1:13" x14ac:dyDescent="0.25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 x14ac:dyDescent="0.25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 x14ac:dyDescent="0.25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</row>
    <row r="8797" spans="1:13" x14ac:dyDescent="0.25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 x14ac:dyDescent="0.25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 x14ac:dyDescent="0.25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 x14ac:dyDescent="0.25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</row>
    <row r="8801" spans="1:13" x14ac:dyDescent="0.25">
      <c r="A8801" t="s">
        <v>28</v>
      </c>
      <c r="B8801" t="s">
        <v>22</v>
      </c>
      <c r="C8801" t="s">
        <v>15</v>
      </c>
      <c r="D8801" t="s">
        <v>305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 x14ac:dyDescent="0.25">
      <c r="A8802" t="s">
        <v>13</v>
      </c>
      <c r="B8802" t="s">
        <v>14</v>
      </c>
      <c r="C8802" t="s">
        <v>15</v>
      </c>
      <c r="D8802" t="s">
        <v>106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 x14ac:dyDescent="0.25">
      <c r="A8803" t="s">
        <v>13</v>
      </c>
      <c r="B8803" t="s">
        <v>14</v>
      </c>
      <c r="C8803" t="s">
        <v>15</v>
      </c>
      <c r="D8803" t="s">
        <v>106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</row>
    <row r="8804" spans="1:13" x14ac:dyDescent="0.25">
      <c r="A8804" t="s">
        <v>13</v>
      </c>
      <c r="B8804" t="s">
        <v>14</v>
      </c>
      <c r="C8804" t="s">
        <v>15</v>
      </c>
      <c r="D8804" t="s">
        <v>106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</row>
    <row r="8805" spans="1:13" x14ac:dyDescent="0.25">
      <c r="A8805" t="s">
        <v>13</v>
      </c>
      <c r="B8805" t="s">
        <v>14</v>
      </c>
      <c r="C8805" t="s">
        <v>15</v>
      </c>
      <c r="D8805" t="s">
        <v>106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 x14ac:dyDescent="0.25">
      <c r="A8806" t="s">
        <v>13</v>
      </c>
      <c r="B8806" t="s">
        <v>14</v>
      </c>
      <c r="C8806" t="s">
        <v>15</v>
      </c>
      <c r="D8806" t="s">
        <v>106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 x14ac:dyDescent="0.25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 x14ac:dyDescent="0.25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</row>
    <row r="8809" spans="1:13" x14ac:dyDescent="0.25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</row>
    <row r="8810" spans="1:13" x14ac:dyDescent="0.25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 x14ac:dyDescent="0.25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 x14ac:dyDescent="0.25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 x14ac:dyDescent="0.25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 x14ac:dyDescent="0.25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</row>
    <row r="8815" spans="1:13" x14ac:dyDescent="0.25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 x14ac:dyDescent="0.25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</row>
    <row r="8817" spans="1:13" x14ac:dyDescent="0.25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</row>
    <row r="8818" spans="1:13" x14ac:dyDescent="0.25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</row>
    <row r="8819" spans="1:13" x14ac:dyDescent="0.25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 x14ac:dyDescent="0.25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</row>
    <row r="8821" spans="1:13" x14ac:dyDescent="0.25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</row>
    <row r="8822" spans="1:13" x14ac:dyDescent="0.25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</row>
    <row r="8823" spans="1:13" x14ac:dyDescent="0.25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</row>
    <row r="8824" spans="1:13" x14ac:dyDescent="0.25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</row>
    <row r="8825" spans="1:13" x14ac:dyDescent="0.25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 x14ac:dyDescent="0.25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</row>
    <row r="8827" spans="1:13" x14ac:dyDescent="0.25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</row>
    <row r="8828" spans="1:13" x14ac:dyDescent="0.25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 x14ac:dyDescent="0.25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</row>
    <row r="8830" spans="1:13" x14ac:dyDescent="0.25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 x14ac:dyDescent="0.25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 x14ac:dyDescent="0.25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</row>
    <row r="8833" spans="1:13" x14ac:dyDescent="0.25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 x14ac:dyDescent="0.25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 x14ac:dyDescent="0.25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 x14ac:dyDescent="0.25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 x14ac:dyDescent="0.25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</row>
    <row r="8838" spans="1:13" x14ac:dyDescent="0.25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 x14ac:dyDescent="0.25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 x14ac:dyDescent="0.25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</row>
    <row r="8841" spans="1:13" x14ac:dyDescent="0.25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</row>
    <row r="8842" spans="1:13" x14ac:dyDescent="0.25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</row>
    <row r="8843" spans="1:13" x14ac:dyDescent="0.25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</row>
    <row r="8844" spans="1:13" x14ac:dyDescent="0.25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</row>
    <row r="8845" spans="1:13" x14ac:dyDescent="0.25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 x14ac:dyDescent="0.25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</row>
    <row r="8847" spans="1:13" x14ac:dyDescent="0.25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</row>
    <row r="8848" spans="1:13" x14ac:dyDescent="0.25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 x14ac:dyDescent="0.25">
      <c r="A8849" t="s">
        <v>28</v>
      </c>
      <c r="B8849" t="s">
        <v>44</v>
      </c>
      <c r="C8849" t="s">
        <v>15</v>
      </c>
      <c r="D8849" t="s">
        <v>353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</row>
    <row r="8850" spans="1:13" x14ac:dyDescent="0.25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</row>
    <row r="8851" spans="1:13" x14ac:dyDescent="0.25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</row>
    <row r="8852" spans="1:13" x14ac:dyDescent="0.25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 x14ac:dyDescent="0.25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</row>
    <row r="8854" spans="1:13" x14ac:dyDescent="0.25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</row>
    <row r="8855" spans="1:13" x14ac:dyDescent="0.25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</row>
    <row r="8856" spans="1:13" x14ac:dyDescent="0.25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 x14ac:dyDescent="0.25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</row>
    <row r="8858" spans="1:13" x14ac:dyDescent="0.25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</row>
    <row r="8859" spans="1:13" x14ac:dyDescent="0.25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</row>
    <row r="8860" spans="1:13" x14ac:dyDescent="0.25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</row>
    <row r="8861" spans="1:13" x14ac:dyDescent="0.25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 x14ac:dyDescent="0.25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</row>
    <row r="8863" spans="1:13" x14ac:dyDescent="0.25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</row>
    <row r="8864" spans="1:13" x14ac:dyDescent="0.25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 x14ac:dyDescent="0.25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</row>
    <row r="8866" spans="1:13" x14ac:dyDescent="0.25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 x14ac:dyDescent="0.25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</row>
    <row r="8868" spans="1:13" x14ac:dyDescent="0.25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</row>
    <row r="8869" spans="1:13" x14ac:dyDescent="0.25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</row>
    <row r="8870" spans="1:13" x14ac:dyDescent="0.25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</row>
    <row r="8871" spans="1:13" x14ac:dyDescent="0.25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</row>
    <row r="8872" spans="1:13" x14ac:dyDescent="0.25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 x14ac:dyDescent="0.25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 x14ac:dyDescent="0.25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 x14ac:dyDescent="0.25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</row>
    <row r="8876" spans="1:13" x14ac:dyDescent="0.25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</row>
    <row r="8877" spans="1:13" x14ac:dyDescent="0.25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 x14ac:dyDescent="0.25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</row>
    <row r="8879" spans="1:13" x14ac:dyDescent="0.25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 x14ac:dyDescent="0.25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</row>
    <row r="8881" spans="1:13" x14ac:dyDescent="0.25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</row>
    <row r="8882" spans="1:13" x14ac:dyDescent="0.25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 x14ac:dyDescent="0.25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 x14ac:dyDescent="0.25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 x14ac:dyDescent="0.25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 x14ac:dyDescent="0.25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</row>
    <row r="8887" spans="1:13" x14ac:dyDescent="0.25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 x14ac:dyDescent="0.25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 x14ac:dyDescent="0.25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 x14ac:dyDescent="0.25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 x14ac:dyDescent="0.25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 x14ac:dyDescent="0.25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 x14ac:dyDescent="0.25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</row>
    <row r="8894" spans="1:13" x14ac:dyDescent="0.25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</row>
    <row r="8895" spans="1:13" x14ac:dyDescent="0.25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 x14ac:dyDescent="0.25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</row>
    <row r="8897" spans="1:13" x14ac:dyDescent="0.25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 x14ac:dyDescent="0.25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</row>
    <row r="8899" spans="1:13" x14ac:dyDescent="0.25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</row>
    <row r="8900" spans="1:13" x14ac:dyDescent="0.25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</row>
    <row r="8901" spans="1:13" x14ac:dyDescent="0.25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 x14ac:dyDescent="0.25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 x14ac:dyDescent="0.25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 x14ac:dyDescent="0.25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 x14ac:dyDescent="0.25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</row>
    <row r="8906" spans="1:13" x14ac:dyDescent="0.25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 x14ac:dyDescent="0.25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</row>
    <row r="8908" spans="1:13" x14ac:dyDescent="0.25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 x14ac:dyDescent="0.25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</row>
    <row r="8910" spans="1:13" x14ac:dyDescent="0.25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</row>
    <row r="8911" spans="1:13" x14ac:dyDescent="0.25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</row>
    <row r="8912" spans="1:13" x14ac:dyDescent="0.25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 x14ac:dyDescent="0.25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</row>
    <row r="8914" spans="1:13" x14ac:dyDescent="0.25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</row>
    <row r="8915" spans="1:13" x14ac:dyDescent="0.25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</row>
    <row r="8916" spans="1:13" x14ac:dyDescent="0.25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 x14ac:dyDescent="0.25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 x14ac:dyDescent="0.25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</row>
    <row r="8919" spans="1:13" x14ac:dyDescent="0.25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</row>
    <row r="8920" spans="1:13" x14ac:dyDescent="0.25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 x14ac:dyDescent="0.25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 x14ac:dyDescent="0.25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</row>
    <row r="8923" spans="1:13" x14ac:dyDescent="0.25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 x14ac:dyDescent="0.25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</row>
    <row r="8925" spans="1:13" x14ac:dyDescent="0.25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 x14ac:dyDescent="0.25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 x14ac:dyDescent="0.25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</row>
    <row r="8928" spans="1:13" x14ac:dyDescent="0.25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</row>
    <row r="8929" spans="1:13" x14ac:dyDescent="0.25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 x14ac:dyDescent="0.25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 x14ac:dyDescent="0.25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</row>
    <row r="8932" spans="1:13" x14ac:dyDescent="0.25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</row>
    <row r="8933" spans="1:13" x14ac:dyDescent="0.25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</row>
    <row r="8934" spans="1:13" x14ac:dyDescent="0.25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 x14ac:dyDescent="0.25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</row>
    <row r="8936" spans="1:13" x14ac:dyDescent="0.25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</row>
    <row r="8937" spans="1:13" x14ac:dyDescent="0.25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 x14ac:dyDescent="0.25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 x14ac:dyDescent="0.25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 x14ac:dyDescent="0.25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 x14ac:dyDescent="0.25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 x14ac:dyDescent="0.25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 x14ac:dyDescent="0.25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</row>
    <row r="8944" spans="1:13" x14ac:dyDescent="0.25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</row>
    <row r="8945" spans="1:13" x14ac:dyDescent="0.25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</row>
    <row r="8946" spans="1:13" x14ac:dyDescent="0.25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 x14ac:dyDescent="0.25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</row>
    <row r="8948" spans="1:13" x14ac:dyDescent="0.25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 x14ac:dyDescent="0.25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</row>
    <row r="8950" spans="1:13" x14ac:dyDescent="0.25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 x14ac:dyDescent="0.25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</row>
    <row r="8952" spans="1:13" x14ac:dyDescent="0.25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</row>
    <row r="8953" spans="1:13" x14ac:dyDescent="0.25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</row>
    <row r="8954" spans="1:13" x14ac:dyDescent="0.25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</row>
    <row r="8955" spans="1:13" x14ac:dyDescent="0.25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</row>
    <row r="8956" spans="1:13" x14ac:dyDescent="0.25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</row>
    <row r="8957" spans="1:13" x14ac:dyDescent="0.25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</row>
    <row r="8958" spans="1:13" x14ac:dyDescent="0.25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</row>
    <row r="8959" spans="1:13" x14ac:dyDescent="0.25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 x14ac:dyDescent="0.25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</row>
    <row r="8961" spans="1:13" x14ac:dyDescent="0.25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</row>
    <row r="8962" spans="1:13" x14ac:dyDescent="0.25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 x14ac:dyDescent="0.25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 x14ac:dyDescent="0.25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 x14ac:dyDescent="0.25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 x14ac:dyDescent="0.25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</row>
    <row r="8967" spans="1:13" x14ac:dyDescent="0.25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</row>
    <row r="8968" spans="1:13" x14ac:dyDescent="0.25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</row>
    <row r="8969" spans="1:13" x14ac:dyDescent="0.25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 x14ac:dyDescent="0.25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</row>
    <row r="8971" spans="1:13" x14ac:dyDescent="0.25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</row>
    <row r="8972" spans="1:13" x14ac:dyDescent="0.25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 x14ac:dyDescent="0.25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 x14ac:dyDescent="0.25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</row>
    <row r="8975" spans="1:13" x14ac:dyDescent="0.25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</row>
    <row r="8976" spans="1:13" x14ac:dyDescent="0.25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 x14ac:dyDescent="0.25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</row>
    <row r="8978" spans="1:13" x14ac:dyDescent="0.25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</row>
    <row r="8979" spans="1:13" x14ac:dyDescent="0.25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</row>
    <row r="8980" spans="1:13" x14ac:dyDescent="0.25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 x14ac:dyDescent="0.25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</row>
    <row r="8982" spans="1:13" x14ac:dyDescent="0.25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 x14ac:dyDescent="0.25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</row>
    <row r="8984" spans="1:13" x14ac:dyDescent="0.25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 x14ac:dyDescent="0.25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 x14ac:dyDescent="0.25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</row>
    <row r="8987" spans="1:13" x14ac:dyDescent="0.25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 x14ac:dyDescent="0.25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</row>
    <row r="8989" spans="1:13" x14ac:dyDescent="0.25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</row>
    <row r="8990" spans="1:13" x14ac:dyDescent="0.25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</row>
    <row r="8991" spans="1:13" x14ac:dyDescent="0.25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 x14ac:dyDescent="0.25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</row>
    <row r="8993" spans="1:13" x14ac:dyDescent="0.25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</row>
    <row r="8994" spans="1:13" x14ac:dyDescent="0.25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</row>
    <row r="8995" spans="1:13" x14ac:dyDescent="0.25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 x14ac:dyDescent="0.25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</row>
    <row r="8997" spans="1:13" x14ac:dyDescent="0.25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 x14ac:dyDescent="0.25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 x14ac:dyDescent="0.25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 x14ac:dyDescent="0.25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 x14ac:dyDescent="0.25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</row>
    <row r="9002" spans="1:13" x14ac:dyDescent="0.25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 x14ac:dyDescent="0.25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</row>
    <row r="9004" spans="1:13" x14ac:dyDescent="0.25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 x14ac:dyDescent="0.25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</row>
    <row r="9006" spans="1:13" x14ac:dyDescent="0.25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</row>
    <row r="9007" spans="1:13" x14ac:dyDescent="0.25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</row>
    <row r="9008" spans="1:13" x14ac:dyDescent="0.25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 x14ac:dyDescent="0.25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</row>
    <row r="9010" spans="1:13" x14ac:dyDescent="0.25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 x14ac:dyDescent="0.25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 x14ac:dyDescent="0.25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</row>
    <row r="9013" spans="1:13" x14ac:dyDescent="0.25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</row>
    <row r="9014" spans="1:13" x14ac:dyDescent="0.25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 x14ac:dyDescent="0.25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</row>
    <row r="9016" spans="1:13" x14ac:dyDescent="0.25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</row>
    <row r="9017" spans="1:13" x14ac:dyDescent="0.25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</row>
    <row r="9018" spans="1:13" x14ac:dyDescent="0.25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</row>
    <row r="9019" spans="1:13" x14ac:dyDescent="0.25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</row>
    <row r="9020" spans="1:13" x14ac:dyDescent="0.25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</row>
    <row r="9021" spans="1:13" x14ac:dyDescent="0.25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</row>
    <row r="9022" spans="1:13" x14ac:dyDescent="0.25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</row>
    <row r="9023" spans="1:13" x14ac:dyDescent="0.25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</row>
    <row r="9024" spans="1:13" x14ac:dyDescent="0.25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</row>
    <row r="9025" spans="1:13" x14ac:dyDescent="0.2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 x14ac:dyDescent="0.25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</row>
    <row r="9027" spans="1:13" x14ac:dyDescent="0.25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 x14ac:dyDescent="0.25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 x14ac:dyDescent="0.25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 x14ac:dyDescent="0.25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</row>
    <row r="9031" spans="1:13" x14ac:dyDescent="0.25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</row>
    <row r="9032" spans="1:13" x14ac:dyDescent="0.25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</row>
    <row r="9033" spans="1:13" x14ac:dyDescent="0.25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</row>
    <row r="9034" spans="1:13" x14ac:dyDescent="0.25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</row>
    <row r="9035" spans="1:13" x14ac:dyDescent="0.25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</row>
    <row r="9036" spans="1:13" x14ac:dyDescent="0.25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 x14ac:dyDescent="0.25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 x14ac:dyDescent="0.25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</row>
    <row r="9039" spans="1:13" x14ac:dyDescent="0.25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</row>
    <row r="9040" spans="1:13" x14ac:dyDescent="0.25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</row>
    <row r="9041" spans="1:13" x14ac:dyDescent="0.25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 x14ac:dyDescent="0.25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</row>
    <row r="9043" spans="1:13" x14ac:dyDescent="0.25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</row>
    <row r="9044" spans="1:13" x14ac:dyDescent="0.25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 x14ac:dyDescent="0.25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 x14ac:dyDescent="0.25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</row>
    <row r="9047" spans="1:13" x14ac:dyDescent="0.25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</row>
    <row r="9048" spans="1:13" x14ac:dyDescent="0.25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 x14ac:dyDescent="0.25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 x14ac:dyDescent="0.25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 x14ac:dyDescent="0.25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</row>
    <row r="9052" spans="1:13" x14ac:dyDescent="0.25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</row>
    <row r="9053" spans="1:13" x14ac:dyDescent="0.25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 x14ac:dyDescent="0.25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</row>
    <row r="9055" spans="1:13" x14ac:dyDescent="0.25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</row>
    <row r="9056" spans="1:13" x14ac:dyDescent="0.25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 x14ac:dyDescent="0.25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</row>
    <row r="9058" spans="1:13" x14ac:dyDescent="0.25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</row>
    <row r="9059" spans="1:13" x14ac:dyDescent="0.25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</row>
    <row r="9060" spans="1:13" x14ac:dyDescent="0.25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 x14ac:dyDescent="0.25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</row>
    <row r="9062" spans="1:13" x14ac:dyDescent="0.25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</row>
    <row r="9063" spans="1:13" x14ac:dyDescent="0.25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</row>
    <row r="9064" spans="1:13" x14ac:dyDescent="0.25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 x14ac:dyDescent="0.25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</row>
    <row r="9066" spans="1:13" x14ac:dyDescent="0.25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</row>
    <row r="9067" spans="1:13" x14ac:dyDescent="0.25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</row>
    <row r="9068" spans="1:13" x14ac:dyDescent="0.25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 x14ac:dyDescent="0.25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 x14ac:dyDescent="0.25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</row>
    <row r="9071" spans="1:13" x14ac:dyDescent="0.25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 x14ac:dyDescent="0.25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</row>
    <row r="9073" spans="1:13" x14ac:dyDescent="0.25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 x14ac:dyDescent="0.25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 x14ac:dyDescent="0.25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 x14ac:dyDescent="0.25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</row>
    <row r="9077" spans="1:13" x14ac:dyDescent="0.25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 x14ac:dyDescent="0.25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 x14ac:dyDescent="0.25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 x14ac:dyDescent="0.25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</row>
    <row r="9081" spans="1:13" x14ac:dyDescent="0.25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</row>
    <row r="9082" spans="1:13" x14ac:dyDescent="0.25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</row>
    <row r="9083" spans="1:13" x14ac:dyDescent="0.25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</row>
    <row r="9084" spans="1:13" x14ac:dyDescent="0.25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 x14ac:dyDescent="0.25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</row>
    <row r="9086" spans="1:13" x14ac:dyDescent="0.25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 x14ac:dyDescent="0.25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 x14ac:dyDescent="0.25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</row>
    <row r="9089" spans="1:13" x14ac:dyDescent="0.25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 x14ac:dyDescent="0.25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 x14ac:dyDescent="0.25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 x14ac:dyDescent="0.25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</row>
    <row r="9093" spans="1:13" x14ac:dyDescent="0.25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</row>
    <row r="9094" spans="1:13" x14ac:dyDescent="0.25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 x14ac:dyDescent="0.25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</row>
    <row r="9096" spans="1:13" x14ac:dyDescent="0.25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</row>
    <row r="9097" spans="1:13" x14ac:dyDescent="0.25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 x14ac:dyDescent="0.25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</row>
    <row r="9099" spans="1:13" x14ac:dyDescent="0.25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</row>
    <row r="9100" spans="1:13" x14ac:dyDescent="0.25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</row>
    <row r="9101" spans="1:13" x14ac:dyDescent="0.25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</row>
    <row r="9102" spans="1:13" x14ac:dyDescent="0.25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</row>
    <row r="9103" spans="1:13" x14ac:dyDescent="0.25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 x14ac:dyDescent="0.25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</row>
    <row r="9105" spans="1:13" x14ac:dyDescent="0.25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</row>
    <row r="9106" spans="1:13" x14ac:dyDescent="0.25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 x14ac:dyDescent="0.25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 x14ac:dyDescent="0.25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</row>
    <row r="9109" spans="1:13" x14ac:dyDescent="0.25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</row>
    <row r="9110" spans="1:13" x14ac:dyDescent="0.25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</row>
    <row r="9111" spans="1:13" x14ac:dyDescent="0.25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</row>
    <row r="9112" spans="1:13" x14ac:dyDescent="0.25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 x14ac:dyDescent="0.25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 x14ac:dyDescent="0.25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 x14ac:dyDescent="0.25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</row>
    <row r="9116" spans="1:13" x14ac:dyDescent="0.25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 x14ac:dyDescent="0.25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 x14ac:dyDescent="0.25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 x14ac:dyDescent="0.25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</row>
    <row r="9120" spans="1:13" x14ac:dyDescent="0.25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</row>
    <row r="9121" spans="1:13" x14ac:dyDescent="0.25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</row>
    <row r="9122" spans="1:13" x14ac:dyDescent="0.25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 x14ac:dyDescent="0.25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 x14ac:dyDescent="0.25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</row>
    <row r="9125" spans="1:13" x14ac:dyDescent="0.25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</row>
    <row r="9126" spans="1:13" x14ac:dyDescent="0.25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</row>
    <row r="9127" spans="1:13" x14ac:dyDescent="0.25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 x14ac:dyDescent="0.25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</row>
    <row r="9129" spans="1:13" x14ac:dyDescent="0.25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</row>
    <row r="9130" spans="1:13" x14ac:dyDescent="0.25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</row>
    <row r="9131" spans="1:13" x14ac:dyDescent="0.25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 x14ac:dyDescent="0.25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 x14ac:dyDescent="0.25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 x14ac:dyDescent="0.25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</row>
    <row r="9135" spans="1:13" x14ac:dyDescent="0.25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</row>
    <row r="9136" spans="1:13" x14ac:dyDescent="0.25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</row>
    <row r="9137" spans="1:13" x14ac:dyDescent="0.25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</row>
    <row r="9138" spans="1:13" x14ac:dyDescent="0.25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</row>
    <row r="9139" spans="1:13" x14ac:dyDescent="0.25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 x14ac:dyDescent="0.25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</row>
    <row r="9141" spans="1:13" x14ac:dyDescent="0.25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 x14ac:dyDescent="0.25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 x14ac:dyDescent="0.25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</row>
    <row r="9144" spans="1:13" x14ac:dyDescent="0.25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</row>
    <row r="9145" spans="1:13" x14ac:dyDescent="0.25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 x14ac:dyDescent="0.25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 x14ac:dyDescent="0.25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</row>
    <row r="9148" spans="1:13" x14ac:dyDescent="0.25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 x14ac:dyDescent="0.25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</row>
    <row r="9150" spans="1:13" x14ac:dyDescent="0.25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</row>
    <row r="9151" spans="1:13" x14ac:dyDescent="0.25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 x14ac:dyDescent="0.25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 x14ac:dyDescent="0.25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 x14ac:dyDescent="0.25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</row>
    <row r="9155" spans="1:13" x14ac:dyDescent="0.25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</row>
    <row r="9156" spans="1:13" x14ac:dyDescent="0.25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</row>
    <row r="9157" spans="1:13" x14ac:dyDescent="0.25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</row>
    <row r="9158" spans="1:13" x14ac:dyDescent="0.25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</row>
    <row r="9159" spans="1:13" x14ac:dyDescent="0.25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</row>
    <row r="9160" spans="1:13" x14ac:dyDescent="0.25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</row>
    <row r="9161" spans="1:13" x14ac:dyDescent="0.25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 x14ac:dyDescent="0.25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 x14ac:dyDescent="0.25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 x14ac:dyDescent="0.25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</row>
    <row r="9165" spans="1:13" x14ac:dyDescent="0.25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</row>
    <row r="9166" spans="1:13" x14ac:dyDescent="0.25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</row>
    <row r="9167" spans="1:13" x14ac:dyDescent="0.25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 x14ac:dyDescent="0.25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</row>
    <row r="9169" spans="1:13" x14ac:dyDescent="0.25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 x14ac:dyDescent="0.25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 x14ac:dyDescent="0.25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</row>
    <row r="9172" spans="1:13" x14ac:dyDescent="0.25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 x14ac:dyDescent="0.25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 x14ac:dyDescent="0.25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</row>
    <row r="9175" spans="1:13" x14ac:dyDescent="0.25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 x14ac:dyDescent="0.25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</row>
    <row r="9177" spans="1:13" x14ac:dyDescent="0.25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 x14ac:dyDescent="0.25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</row>
    <row r="9179" spans="1:13" x14ac:dyDescent="0.25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</row>
    <row r="9180" spans="1:13" x14ac:dyDescent="0.25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</row>
    <row r="9181" spans="1:13" x14ac:dyDescent="0.25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 x14ac:dyDescent="0.25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 x14ac:dyDescent="0.25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</row>
    <row r="9184" spans="1:13" x14ac:dyDescent="0.25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</row>
    <row r="9185" spans="1:13" x14ac:dyDescent="0.25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 x14ac:dyDescent="0.25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 x14ac:dyDescent="0.25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 x14ac:dyDescent="0.25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</row>
    <row r="9189" spans="1:13" x14ac:dyDescent="0.25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</row>
    <row r="9190" spans="1:13" x14ac:dyDescent="0.25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</row>
    <row r="9191" spans="1:13" x14ac:dyDescent="0.25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 x14ac:dyDescent="0.25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</row>
    <row r="9193" spans="1:13" x14ac:dyDescent="0.25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</row>
    <row r="9194" spans="1:13" x14ac:dyDescent="0.25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</row>
    <row r="9195" spans="1:13" x14ac:dyDescent="0.25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 x14ac:dyDescent="0.25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 x14ac:dyDescent="0.25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</row>
    <row r="9198" spans="1:13" x14ac:dyDescent="0.25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</row>
    <row r="9199" spans="1:13" x14ac:dyDescent="0.25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 x14ac:dyDescent="0.25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 x14ac:dyDescent="0.25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</row>
    <row r="9202" spans="1:13" x14ac:dyDescent="0.25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 x14ac:dyDescent="0.25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</row>
    <row r="9204" spans="1:13" x14ac:dyDescent="0.25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</row>
    <row r="9205" spans="1:13" x14ac:dyDescent="0.25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</row>
    <row r="9206" spans="1:13" x14ac:dyDescent="0.25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 x14ac:dyDescent="0.25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 x14ac:dyDescent="0.25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 x14ac:dyDescent="0.25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</row>
    <row r="9210" spans="1:13" x14ac:dyDescent="0.25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</row>
    <row r="9211" spans="1:13" x14ac:dyDescent="0.25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 x14ac:dyDescent="0.25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 x14ac:dyDescent="0.25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 x14ac:dyDescent="0.25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 x14ac:dyDescent="0.25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 x14ac:dyDescent="0.25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</row>
    <row r="9217" spans="1:13" x14ac:dyDescent="0.25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</row>
    <row r="9218" spans="1:13" x14ac:dyDescent="0.25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</row>
    <row r="9219" spans="1:13" x14ac:dyDescent="0.25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 x14ac:dyDescent="0.25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</row>
    <row r="9221" spans="1:13" x14ac:dyDescent="0.25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</row>
    <row r="9222" spans="1:13" x14ac:dyDescent="0.25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 x14ac:dyDescent="0.25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 x14ac:dyDescent="0.25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 x14ac:dyDescent="0.25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 x14ac:dyDescent="0.25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</row>
    <row r="9227" spans="1:13" x14ac:dyDescent="0.25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 x14ac:dyDescent="0.25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 x14ac:dyDescent="0.25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 x14ac:dyDescent="0.25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</row>
    <row r="9231" spans="1:13" x14ac:dyDescent="0.25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</row>
    <row r="9232" spans="1:13" x14ac:dyDescent="0.25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</row>
    <row r="9233" spans="1:13" x14ac:dyDescent="0.25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</row>
    <row r="9234" spans="1:13" x14ac:dyDescent="0.25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</row>
    <row r="9235" spans="1:13" x14ac:dyDescent="0.25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</row>
    <row r="9236" spans="1:13" x14ac:dyDescent="0.25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 x14ac:dyDescent="0.25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</row>
    <row r="9238" spans="1:13" x14ac:dyDescent="0.25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</row>
    <row r="9239" spans="1:13" x14ac:dyDescent="0.25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 x14ac:dyDescent="0.25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</row>
    <row r="9241" spans="1:13" x14ac:dyDescent="0.25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</row>
    <row r="9242" spans="1:13" x14ac:dyDescent="0.25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 x14ac:dyDescent="0.25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 x14ac:dyDescent="0.25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</row>
    <row r="9245" spans="1:13" x14ac:dyDescent="0.25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</row>
    <row r="9246" spans="1:13" x14ac:dyDescent="0.25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</row>
    <row r="9247" spans="1:13" x14ac:dyDescent="0.25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 x14ac:dyDescent="0.25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</row>
    <row r="9249" spans="1:13" x14ac:dyDescent="0.25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 x14ac:dyDescent="0.25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 x14ac:dyDescent="0.25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 x14ac:dyDescent="0.25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 x14ac:dyDescent="0.25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</row>
    <row r="9254" spans="1:13" x14ac:dyDescent="0.25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</row>
    <row r="9255" spans="1:13" x14ac:dyDescent="0.25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</row>
    <row r="9256" spans="1:13" x14ac:dyDescent="0.25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</row>
    <row r="9257" spans="1:13" x14ac:dyDescent="0.25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 x14ac:dyDescent="0.25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</row>
    <row r="9259" spans="1:13" x14ac:dyDescent="0.25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 x14ac:dyDescent="0.25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</row>
    <row r="9261" spans="1:13" x14ac:dyDescent="0.25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 x14ac:dyDescent="0.25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</row>
    <row r="9263" spans="1:13" x14ac:dyDescent="0.25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 x14ac:dyDescent="0.25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 x14ac:dyDescent="0.25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 x14ac:dyDescent="0.25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 x14ac:dyDescent="0.25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 x14ac:dyDescent="0.25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</row>
    <row r="9269" spans="1:13" x14ac:dyDescent="0.25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 x14ac:dyDescent="0.25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 x14ac:dyDescent="0.25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</row>
    <row r="9272" spans="1:13" x14ac:dyDescent="0.25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 x14ac:dyDescent="0.25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 x14ac:dyDescent="0.25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 x14ac:dyDescent="0.25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</row>
    <row r="9276" spans="1:13" x14ac:dyDescent="0.25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 x14ac:dyDescent="0.25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</row>
    <row r="9278" spans="1:13" x14ac:dyDescent="0.25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</row>
    <row r="9279" spans="1:13" x14ac:dyDescent="0.25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 x14ac:dyDescent="0.25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</row>
    <row r="9281" spans="1:13" x14ac:dyDescent="0.25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 x14ac:dyDescent="0.25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</row>
    <row r="9283" spans="1:13" x14ac:dyDescent="0.25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 x14ac:dyDescent="0.25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</row>
    <row r="9285" spans="1:13" x14ac:dyDescent="0.25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 x14ac:dyDescent="0.25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 x14ac:dyDescent="0.25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</row>
    <row r="9288" spans="1:13" x14ac:dyDescent="0.25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 x14ac:dyDescent="0.25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 x14ac:dyDescent="0.25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 x14ac:dyDescent="0.25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</row>
    <row r="9292" spans="1:13" x14ac:dyDescent="0.25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</row>
    <row r="9293" spans="1:13" x14ac:dyDescent="0.25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</row>
    <row r="9294" spans="1:13" x14ac:dyDescent="0.25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</row>
    <row r="9295" spans="1:13" x14ac:dyDescent="0.25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</row>
    <row r="9296" spans="1:13" x14ac:dyDescent="0.25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</row>
    <row r="9297" spans="1:13" x14ac:dyDescent="0.25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</row>
    <row r="9298" spans="1:13" x14ac:dyDescent="0.25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 x14ac:dyDescent="0.25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</row>
    <row r="9300" spans="1:13" x14ac:dyDescent="0.25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 x14ac:dyDescent="0.25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</row>
    <row r="9302" spans="1:13" x14ac:dyDescent="0.25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</row>
    <row r="9303" spans="1:13" x14ac:dyDescent="0.25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 x14ac:dyDescent="0.25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 x14ac:dyDescent="0.25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</row>
    <row r="9306" spans="1:13" x14ac:dyDescent="0.25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 x14ac:dyDescent="0.25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</row>
    <row r="9308" spans="1:13" x14ac:dyDescent="0.25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 x14ac:dyDescent="0.25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</row>
    <row r="9310" spans="1:13" x14ac:dyDescent="0.25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</row>
    <row r="9311" spans="1:13" x14ac:dyDescent="0.25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</row>
    <row r="9312" spans="1:13" x14ac:dyDescent="0.25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</row>
    <row r="9313" spans="1:13" x14ac:dyDescent="0.25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 x14ac:dyDescent="0.25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 x14ac:dyDescent="0.25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 x14ac:dyDescent="0.25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</row>
    <row r="9317" spans="1:13" x14ac:dyDescent="0.25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</row>
    <row r="9318" spans="1:13" x14ac:dyDescent="0.25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</row>
    <row r="9319" spans="1:13" x14ac:dyDescent="0.25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</row>
    <row r="9320" spans="1:13" x14ac:dyDescent="0.25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</row>
    <row r="9321" spans="1:13" x14ac:dyDescent="0.25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 x14ac:dyDescent="0.25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 x14ac:dyDescent="0.25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 x14ac:dyDescent="0.25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</row>
    <row r="9325" spans="1:13" x14ac:dyDescent="0.25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</row>
    <row r="9326" spans="1:13" x14ac:dyDescent="0.25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 x14ac:dyDescent="0.25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 x14ac:dyDescent="0.25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</row>
    <row r="9329" spans="1:13" x14ac:dyDescent="0.25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 x14ac:dyDescent="0.25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 x14ac:dyDescent="0.25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 x14ac:dyDescent="0.25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 x14ac:dyDescent="0.25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 x14ac:dyDescent="0.25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 x14ac:dyDescent="0.25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</row>
    <row r="9336" spans="1:13" x14ac:dyDescent="0.25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</row>
    <row r="9337" spans="1:13" x14ac:dyDescent="0.25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 x14ac:dyDescent="0.25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 x14ac:dyDescent="0.25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</row>
    <row r="9340" spans="1:13" x14ac:dyDescent="0.25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 x14ac:dyDescent="0.25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 x14ac:dyDescent="0.25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</row>
    <row r="9343" spans="1:13" x14ac:dyDescent="0.25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</row>
    <row r="9344" spans="1:13" x14ac:dyDescent="0.25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</row>
    <row r="9345" spans="1:13" x14ac:dyDescent="0.25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 x14ac:dyDescent="0.25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J9346">
        <v>45.98</v>
      </c>
      <c r="K9346">
        <v>1</v>
      </c>
      <c r="L9346">
        <v>0</v>
      </c>
      <c r="M9346">
        <v>7.8166000000000002</v>
      </c>
    </row>
    <row r="9347" spans="1:13" x14ac:dyDescent="0.25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</row>
    <row r="9348" spans="1:13" x14ac:dyDescent="0.25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</row>
    <row r="9349" spans="1:13" x14ac:dyDescent="0.25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 x14ac:dyDescent="0.25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</row>
    <row r="9351" spans="1:13" x14ac:dyDescent="0.25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</row>
    <row r="9352" spans="1:13" x14ac:dyDescent="0.25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 x14ac:dyDescent="0.25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</row>
    <row r="9354" spans="1:13" x14ac:dyDescent="0.25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</row>
    <row r="9355" spans="1:13" x14ac:dyDescent="0.25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 x14ac:dyDescent="0.25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 x14ac:dyDescent="0.25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 x14ac:dyDescent="0.25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 x14ac:dyDescent="0.25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 x14ac:dyDescent="0.25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 x14ac:dyDescent="0.25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</row>
    <row r="9362" spans="1:13" x14ac:dyDescent="0.25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</row>
    <row r="9363" spans="1:13" x14ac:dyDescent="0.25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</row>
    <row r="9364" spans="1:13" x14ac:dyDescent="0.25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</row>
    <row r="9365" spans="1:13" x14ac:dyDescent="0.25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 x14ac:dyDescent="0.25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 x14ac:dyDescent="0.25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</row>
    <row r="9368" spans="1:13" x14ac:dyDescent="0.25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</row>
    <row r="9369" spans="1:13" x14ac:dyDescent="0.25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</row>
    <row r="9370" spans="1:13" x14ac:dyDescent="0.25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</row>
    <row r="9371" spans="1:13" x14ac:dyDescent="0.25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</row>
    <row r="9372" spans="1:13" x14ac:dyDescent="0.25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</row>
    <row r="9373" spans="1:13" x14ac:dyDescent="0.25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</row>
    <row r="9374" spans="1:13" x14ac:dyDescent="0.25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</row>
    <row r="9375" spans="1:13" x14ac:dyDescent="0.25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</row>
    <row r="9376" spans="1:13" x14ac:dyDescent="0.25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</row>
    <row r="9377" spans="1:13" x14ac:dyDescent="0.25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</row>
    <row r="9378" spans="1:13" x14ac:dyDescent="0.25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 x14ac:dyDescent="0.25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 x14ac:dyDescent="0.25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 x14ac:dyDescent="0.25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 x14ac:dyDescent="0.25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 x14ac:dyDescent="0.25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</row>
    <row r="9384" spans="1:13" x14ac:dyDescent="0.25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</row>
    <row r="9385" spans="1:13" x14ac:dyDescent="0.25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</row>
    <row r="9386" spans="1:13" x14ac:dyDescent="0.25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 x14ac:dyDescent="0.25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 x14ac:dyDescent="0.25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</row>
    <row r="9389" spans="1:13" x14ac:dyDescent="0.25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 x14ac:dyDescent="0.25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</row>
    <row r="9391" spans="1:13" x14ac:dyDescent="0.25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 x14ac:dyDescent="0.25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</row>
    <row r="9393" spans="1:13" x14ac:dyDescent="0.25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</row>
    <row r="9394" spans="1:13" x14ac:dyDescent="0.25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</row>
    <row r="9395" spans="1:13" x14ac:dyDescent="0.25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 x14ac:dyDescent="0.25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</row>
    <row r="9397" spans="1:13" x14ac:dyDescent="0.25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</row>
    <row r="9398" spans="1:13" x14ac:dyDescent="0.25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</row>
    <row r="9399" spans="1:13" x14ac:dyDescent="0.25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 x14ac:dyDescent="0.25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 x14ac:dyDescent="0.25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 x14ac:dyDescent="0.25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</row>
    <row r="9403" spans="1:13" x14ac:dyDescent="0.25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 x14ac:dyDescent="0.25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</row>
    <row r="9405" spans="1:13" x14ac:dyDescent="0.25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</row>
    <row r="9406" spans="1:13" x14ac:dyDescent="0.25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 x14ac:dyDescent="0.25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 x14ac:dyDescent="0.25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 x14ac:dyDescent="0.25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 x14ac:dyDescent="0.25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</row>
    <row r="9411" spans="1:13" x14ac:dyDescent="0.25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 x14ac:dyDescent="0.25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</row>
    <row r="9413" spans="1:13" x14ac:dyDescent="0.25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</row>
    <row r="9414" spans="1:13" x14ac:dyDescent="0.25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</row>
    <row r="9415" spans="1:13" x14ac:dyDescent="0.25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 x14ac:dyDescent="0.25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 x14ac:dyDescent="0.25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 x14ac:dyDescent="0.25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</row>
    <row r="9419" spans="1:13" x14ac:dyDescent="0.25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 x14ac:dyDescent="0.25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 x14ac:dyDescent="0.25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 x14ac:dyDescent="0.25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 x14ac:dyDescent="0.25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</row>
    <row r="9424" spans="1:13" x14ac:dyDescent="0.25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 x14ac:dyDescent="0.25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</row>
    <row r="9426" spans="1:13" x14ac:dyDescent="0.25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</row>
    <row r="9427" spans="1:13" x14ac:dyDescent="0.25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</row>
    <row r="9428" spans="1:13" x14ac:dyDescent="0.25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</row>
    <row r="9429" spans="1:13" x14ac:dyDescent="0.25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</row>
    <row r="9430" spans="1:13" x14ac:dyDescent="0.25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</row>
    <row r="9431" spans="1:13" x14ac:dyDescent="0.25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 x14ac:dyDescent="0.25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 x14ac:dyDescent="0.25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 x14ac:dyDescent="0.25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 x14ac:dyDescent="0.25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 x14ac:dyDescent="0.25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</row>
    <row r="9437" spans="1:13" x14ac:dyDescent="0.25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</row>
    <row r="9438" spans="1:13" x14ac:dyDescent="0.25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</row>
    <row r="9439" spans="1:13" x14ac:dyDescent="0.25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 x14ac:dyDescent="0.25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 x14ac:dyDescent="0.25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 x14ac:dyDescent="0.25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</row>
    <row r="9443" spans="1:13" x14ac:dyDescent="0.25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</row>
    <row r="9444" spans="1:13" x14ac:dyDescent="0.25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</row>
    <row r="9445" spans="1:13" x14ac:dyDescent="0.25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 x14ac:dyDescent="0.25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</row>
    <row r="9447" spans="1:13" x14ac:dyDescent="0.25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 x14ac:dyDescent="0.25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</row>
    <row r="9449" spans="1:13" x14ac:dyDescent="0.25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</row>
    <row r="9450" spans="1:13" x14ac:dyDescent="0.25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 x14ac:dyDescent="0.25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</row>
    <row r="9452" spans="1:13" x14ac:dyDescent="0.25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</row>
    <row r="9453" spans="1:13" x14ac:dyDescent="0.25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</row>
    <row r="9454" spans="1:13" x14ac:dyDescent="0.25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</row>
    <row r="9455" spans="1:13" x14ac:dyDescent="0.25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</row>
    <row r="9456" spans="1:13" x14ac:dyDescent="0.25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</row>
    <row r="9457" spans="1:13" x14ac:dyDescent="0.25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 x14ac:dyDescent="0.25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 x14ac:dyDescent="0.25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</row>
    <row r="9460" spans="1:13" x14ac:dyDescent="0.25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 x14ac:dyDescent="0.25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</row>
    <row r="9462" spans="1:13" x14ac:dyDescent="0.25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 x14ac:dyDescent="0.25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</row>
    <row r="9464" spans="1:13" x14ac:dyDescent="0.25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 x14ac:dyDescent="0.25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</row>
    <row r="9466" spans="1:13" x14ac:dyDescent="0.25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</row>
    <row r="9467" spans="1:13" x14ac:dyDescent="0.25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 x14ac:dyDescent="0.25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</row>
    <row r="9469" spans="1:13" x14ac:dyDescent="0.25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</row>
    <row r="9470" spans="1:13" x14ac:dyDescent="0.25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 x14ac:dyDescent="0.25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 x14ac:dyDescent="0.25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</row>
    <row r="9473" spans="1:13" x14ac:dyDescent="0.25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</row>
    <row r="9474" spans="1:13" x14ac:dyDescent="0.25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</row>
    <row r="9475" spans="1:13" x14ac:dyDescent="0.25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 x14ac:dyDescent="0.25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</row>
    <row r="9477" spans="1:13" x14ac:dyDescent="0.25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 x14ac:dyDescent="0.25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</row>
    <row r="9479" spans="1:13" x14ac:dyDescent="0.25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</row>
    <row r="9480" spans="1:13" x14ac:dyDescent="0.25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</row>
    <row r="9481" spans="1:13" x14ac:dyDescent="0.25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 x14ac:dyDescent="0.25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</row>
    <row r="9483" spans="1:13" x14ac:dyDescent="0.25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</row>
    <row r="9484" spans="1:13" x14ac:dyDescent="0.25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</row>
    <row r="9485" spans="1:13" x14ac:dyDescent="0.25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 x14ac:dyDescent="0.25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</row>
    <row r="9487" spans="1:13" x14ac:dyDescent="0.25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 x14ac:dyDescent="0.25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</row>
    <row r="9489" spans="1:13" x14ac:dyDescent="0.25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</row>
    <row r="9490" spans="1:13" x14ac:dyDescent="0.25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</row>
    <row r="9491" spans="1:13" x14ac:dyDescent="0.25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</row>
    <row r="9492" spans="1:13" x14ac:dyDescent="0.25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</row>
    <row r="9493" spans="1:13" x14ac:dyDescent="0.25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</row>
    <row r="9494" spans="1:13" x14ac:dyDescent="0.25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</row>
    <row r="9495" spans="1:13" x14ac:dyDescent="0.25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</row>
    <row r="9496" spans="1:13" x14ac:dyDescent="0.25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 x14ac:dyDescent="0.25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 x14ac:dyDescent="0.25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</row>
    <row r="9499" spans="1:13" x14ac:dyDescent="0.25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 x14ac:dyDescent="0.25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 x14ac:dyDescent="0.25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 x14ac:dyDescent="0.25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 x14ac:dyDescent="0.25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 x14ac:dyDescent="0.25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</row>
    <row r="9505" spans="1:13" x14ac:dyDescent="0.25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</row>
    <row r="9506" spans="1:13" x14ac:dyDescent="0.25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</row>
    <row r="9507" spans="1:13" x14ac:dyDescent="0.25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 x14ac:dyDescent="0.25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 x14ac:dyDescent="0.25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 x14ac:dyDescent="0.25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</row>
    <row r="9511" spans="1:13" x14ac:dyDescent="0.25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 x14ac:dyDescent="0.25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 x14ac:dyDescent="0.25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 x14ac:dyDescent="0.25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 x14ac:dyDescent="0.25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</row>
    <row r="9516" spans="1:13" x14ac:dyDescent="0.25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</row>
    <row r="9517" spans="1:13" x14ac:dyDescent="0.25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 x14ac:dyDescent="0.25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</row>
    <row r="9519" spans="1:13" x14ac:dyDescent="0.25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 x14ac:dyDescent="0.25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 x14ac:dyDescent="0.25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 x14ac:dyDescent="0.25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</row>
    <row r="9523" spans="1:13" x14ac:dyDescent="0.25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</row>
    <row r="9524" spans="1:13" x14ac:dyDescent="0.25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</row>
    <row r="9525" spans="1:13" x14ac:dyDescent="0.25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</row>
    <row r="9526" spans="1:13" x14ac:dyDescent="0.25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 x14ac:dyDescent="0.25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</row>
    <row r="9528" spans="1:13" x14ac:dyDescent="0.25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 x14ac:dyDescent="0.25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 x14ac:dyDescent="0.25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</row>
    <row r="9531" spans="1:13" x14ac:dyDescent="0.25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</row>
    <row r="9532" spans="1:13" x14ac:dyDescent="0.25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</row>
    <row r="9533" spans="1:13" x14ac:dyDescent="0.25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</row>
    <row r="9534" spans="1:13" x14ac:dyDescent="0.25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 x14ac:dyDescent="0.25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 x14ac:dyDescent="0.25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 x14ac:dyDescent="0.25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</row>
    <row r="9538" spans="1:13" x14ac:dyDescent="0.25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 x14ac:dyDescent="0.25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</row>
    <row r="9540" spans="1:13" x14ac:dyDescent="0.25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</row>
    <row r="9541" spans="1:13" x14ac:dyDescent="0.25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</row>
    <row r="9542" spans="1:13" x14ac:dyDescent="0.25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 x14ac:dyDescent="0.25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 x14ac:dyDescent="0.25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</row>
    <row r="9545" spans="1:13" x14ac:dyDescent="0.25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 x14ac:dyDescent="0.25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</row>
    <row r="9547" spans="1:13" x14ac:dyDescent="0.25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</row>
    <row r="9548" spans="1:13" x14ac:dyDescent="0.25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 x14ac:dyDescent="0.25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</row>
    <row r="9550" spans="1:13" x14ac:dyDescent="0.25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 x14ac:dyDescent="0.25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 x14ac:dyDescent="0.25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 x14ac:dyDescent="0.25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</row>
    <row r="9554" spans="1:13" x14ac:dyDescent="0.25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 x14ac:dyDescent="0.25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 x14ac:dyDescent="0.25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</row>
    <row r="9557" spans="1:13" x14ac:dyDescent="0.25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 x14ac:dyDescent="0.25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</row>
    <row r="9559" spans="1:13" x14ac:dyDescent="0.25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 x14ac:dyDescent="0.25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 x14ac:dyDescent="0.25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</row>
    <row r="9562" spans="1:13" x14ac:dyDescent="0.25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</row>
    <row r="9563" spans="1:13" x14ac:dyDescent="0.25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 x14ac:dyDescent="0.25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</row>
    <row r="9565" spans="1:13" x14ac:dyDescent="0.25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</row>
    <row r="9566" spans="1:13" x14ac:dyDescent="0.25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</row>
    <row r="9567" spans="1:13" x14ac:dyDescent="0.25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 x14ac:dyDescent="0.25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 x14ac:dyDescent="0.25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 x14ac:dyDescent="0.25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 x14ac:dyDescent="0.25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</row>
    <row r="9572" spans="1:13" x14ac:dyDescent="0.25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 x14ac:dyDescent="0.25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 x14ac:dyDescent="0.25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 x14ac:dyDescent="0.25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</row>
    <row r="9576" spans="1:13" x14ac:dyDescent="0.25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</row>
    <row r="9577" spans="1:13" x14ac:dyDescent="0.25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</row>
    <row r="9578" spans="1:13" x14ac:dyDescent="0.25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</row>
    <row r="9579" spans="1:13" x14ac:dyDescent="0.25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</row>
    <row r="9580" spans="1:13" x14ac:dyDescent="0.25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</row>
    <row r="9581" spans="1:13" x14ac:dyDescent="0.25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 x14ac:dyDescent="0.25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</row>
    <row r="9583" spans="1:13" x14ac:dyDescent="0.25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</row>
    <row r="9584" spans="1:13" x14ac:dyDescent="0.25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 x14ac:dyDescent="0.25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</row>
    <row r="9586" spans="1:13" x14ac:dyDescent="0.25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 x14ac:dyDescent="0.25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</row>
    <row r="9588" spans="1:13" x14ac:dyDescent="0.25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</row>
    <row r="9589" spans="1:13" x14ac:dyDescent="0.25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</row>
    <row r="9590" spans="1:13" x14ac:dyDescent="0.25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</row>
    <row r="9591" spans="1:13" x14ac:dyDescent="0.25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</row>
    <row r="9592" spans="1:13" x14ac:dyDescent="0.25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</row>
    <row r="9593" spans="1:13" x14ac:dyDescent="0.25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 x14ac:dyDescent="0.25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</row>
    <row r="9595" spans="1:13" x14ac:dyDescent="0.25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 x14ac:dyDescent="0.25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</row>
    <row r="9597" spans="1:13" x14ac:dyDescent="0.25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</row>
    <row r="9598" spans="1:13" x14ac:dyDescent="0.25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</row>
    <row r="9599" spans="1:13" x14ac:dyDescent="0.25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 x14ac:dyDescent="0.25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 x14ac:dyDescent="0.25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</row>
    <row r="9602" spans="1:13" x14ac:dyDescent="0.25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 x14ac:dyDescent="0.25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 x14ac:dyDescent="0.25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</row>
    <row r="9605" spans="1:13" x14ac:dyDescent="0.25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 x14ac:dyDescent="0.25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</row>
    <row r="9607" spans="1:13" x14ac:dyDescent="0.25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 x14ac:dyDescent="0.25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 x14ac:dyDescent="0.25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 x14ac:dyDescent="0.25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 x14ac:dyDescent="0.25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 x14ac:dyDescent="0.25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</row>
    <row r="9613" spans="1:13" x14ac:dyDescent="0.25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</row>
    <row r="9614" spans="1:13" x14ac:dyDescent="0.25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 x14ac:dyDescent="0.25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 x14ac:dyDescent="0.25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</row>
    <row r="9617" spans="1:13" x14ac:dyDescent="0.25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</row>
    <row r="9618" spans="1:13" x14ac:dyDescent="0.25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</row>
    <row r="9619" spans="1:13" x14ac:dyDescent="0.25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</row>
    <row r="9620" spans="1:13" x14ac:dyDescent="0.25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 x14ac:dyDescent="0.25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</row>
    <row r="9622" spans="1:13" x14ac:dyDescent="0.25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</row>
    <row r="9623" spans="1:13" x14ac:dyDescent="0.25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</row>
    <row r="9624" spans="1:13" x14ac:dyDescent="0.25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</row>
    <row r="9625" spans="1:13" x14ac:dyDescent="0.25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</row>
    <row r="9626" spans="1:13" x14ac:dyDescent="0.25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</row>
    <row r="9627" spans="1:13" x14ac:dyDescent="0.25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</row>
    <row r="9628" spans="1:13" x14ac:dyDescent="0.25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 x14ac:dyDescent="0.25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</row>
    <row r="9630" spans="1:13" x14ac:dyDescent="0.25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 x14ac:dyDescent="0.25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 x14ac:dyDescent="0.25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</row>
    <row r="9633" spans="1:13" x14ac:dyDescent="0.25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 x14ac:dyDescent="0.25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 x14ac:dyDescent="0.25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 x14ac:dyDescent="0.25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</row>
    <row r="9637" spans="1:13" x14ac:dyDescent="0.25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 x14ac:dyDescent="0.25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 x14ac:dyDescent="0.25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</row>
    <row r="9640" spans="1:13" x14ac:dyDescent="0.25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</row>
    <row r="9641" spans="1:13" x14ac:dyDescent="0.25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</row>
    <row r="9642" spans="1:13" x14ac:dyDescent="0.25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</row>
    <row r="9643" spans="1:13" x14ac:dyDescent="0.25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 x14ac:dyDescent="0.25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 x14ac:dyDescent="0.25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</row>
    <row r="9646" spans="1:13" x14ac:dyDescent="0.25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 x14ac:dyDescent="0.25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 x14ac:dyDescent="0.25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</row>
    <row r="9649" spans="1:13" x14ac:dyDescent="0.25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</row>
    <row r="9650" spans="1:13" x14ac:dyDescent="0.25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 x14ac:dyDescent="0.2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</row>
    <row r="9652" spans="1:13" x14ac:dyDescent="0.25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 x14ac:dyDescent="0.25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</row>
    <row r="9654" spans="1:13" x14ac:dyDescent="0.25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 x14ac:dyDescent="0.25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 x14ac:dyDescent="0.25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</row>
    <row r="9657" spans="1:13" x14ac:dyDescent="0.25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 x14ac:dyDescent="0.25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</row>
    <row r="9659" spans="1:13" x14ac:dyDescent="0.25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 x14ac:dyDescent="0.25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</row>
    <row r="9661" spans="1:13" x14ac:dyDescent="0.25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</row>
    <row r="9662" spans="1:13" x14ac:dyDescent="0.25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</row>
    <row r="9663" spans="1:13" x14ac:dyDescent="0.25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 x14ac:dyDescent="0.25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 x14ac:dyDescent="0.25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</row>
    <row r="9666" spans="1:13" x14ac:dyDescent="0.25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 x14ac:dyDescent="0.25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 x14ac:dyDescent="0.25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</row>
    <row r="9669" spans="1:13" x14ac:dyDescent="0.25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</row>
    <row r="9670" spans="1:13" x14ac:dyDescent="0.25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</row>
    <row r="9671" spans="1:13" x14ac:dyDescent="0.25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 x14ac:dyDescent="0.25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 x14ac:dyDescent="0.25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</row>
    <row r="9674" spans="1:13" x14ac:dyDescent="0.25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 x14ac:dyDescent="0.25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</row>
    <row r="9676" spans="1:13" x14ac:dyDescent="0.25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 x14ac:dyDescent="0.25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 x14ac:dyDescent="0.25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</row>
    <row r="9679" spans="1:13" x14ac:dyDescent="0.25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</row>
    <row r="9680" spans="1:13" x14ac:dyDescent="0.25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 x14ac:dyDescent="0.25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 x14ac:dyDescent="0.25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</row>
    <row r="9683" spans="1:13" x14ac:dyDescent="0.25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 x14ac:dyDescent="0.25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</row>
    <row r="9685" spans="1:13" x14ac:dyDescent="0.25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</row>
    <row r="9686" spans="1:13" x14ac:dyDescent="0.25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</row>
    <row r="9687" spans="1:13" x14ac:dyDescent="0.25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</row>
    <row r="9688" spans="1:13" x14ac:dyDescent="0.25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</row>
    <row r="9689" spans="1:13" x14ac:dyDescent="0.25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</row>
    <row r="9690" spans="1:13" x14ac:dyDescent="0.25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 x14ac:dyDescent="0.25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 x14ac:dyDescent="0.25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</row>
    <row r="9693" spans="1:13" x14ac:dyDescent="0.25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 x14ac:dyDescent="0.25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</row>
    <row r="9695" spans="1:13" x14ac:dyDescent="0.25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 x14ac:dyDescent="0.25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 x14ac:dyDescent="0.25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</row>
    <row r="9698" spans="1:13" x14ac:dyDescent="0.25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</row>
    <row r="9699" spans="1:13" x14ac:dyDescent="0.25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 x14ac:dyDescent="0.25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 x14ac:dyDescent="0.25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</row>
    <row r="9702" spans="1:13" x14ac:dyDescent="0.25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 x14ac:dyDescent="0.25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 x14ac:dyDescent="0.25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 x14ac:dyDescent="0.25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</row>
    <row r="9706" spans="1:13" x14ac:dyDescent="0.25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 x14ac:dyDescent="0.25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</row>
    <row r="9708" spans="1:13" x14ac:dyDescent="0.25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</row>
    <row r="9709" spans="1:13" x14ac:dyDescent="0.25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</row>
    <row r="9710" spans="1:13" x14ac:dyDescent="0.25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</row>
    <row r="9711" spans="1:13" x14ac:dyDescent="0.25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</row>
    <row r="9712" spans="1:13" x14ac:dyDescent="0.25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</row>
    <row r="9713" spans="1:13" x14ac:dyDescent="0.25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</row>
    <row r="9714" spans="1:13" x14ac:dyDescent="0.25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 x14ac:dyDescent="0.25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 x14ac:dyDescent="0.25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</row>
    <row r="9717" spans="1:13" x14ac:dyDescent="0.25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</row>
    <row r="9718" spans="1:13" x14ac:dyDescent="0.25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</row>
    <row r="9719" spans="1:13" x14ac:dyDescent="0.25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</row>
    <row r="9720" spans="1:13" x14ac:dyDescent="0.25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</row>
    <row r="9721" spans="1:13" x14ac:dyDescent="0.25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</row>
    <row r="9722" spans="1:13" x14ac:dyDescent="0.25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</row>
    <row r="9723" spans="1:13" x14ac:dyDescent="0.25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</row>
    <row r="9724" spans="1:13" x14ac:dyDescent="0.25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</row>
    <row r="9725" spans="1:13" x14ac:dyDescent="0.25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</row>
    <row r="9726" spans="1:13" x14ac:dyDescent="0.25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</row>
    <row r="9727" spans="1:13" x14ac:dyDescent="0.25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 x14ac:dyDescent="0.25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 x14ac:dyDescent="0.25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 x14ac:dyDescent="0.25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</row>
    <row r="9731" spans="1:13" x14ac:dyDescent="0.25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 x14ac:dyDescent="0.25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 x14ac:dyDescent="0.25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 x14ac:dyDescent="0.25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 x14ac:dyDescent="0.25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 x14ac:dyDescent="0.25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</row>
    <row r="9737" spans="1:13" x14ac:dyDescent="0.25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</row>
    <row r="9738" spans="1:13" x14ac:dyDescent="0.25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 x14ac:dyDescent="0.25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 x14ac:dyDescent="0.25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</row>
    <row r="9741" spans="1:13" x14ac:dyDescent="0.25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</row>
    <row r="9742" spans="1:13" x14ac:dyDescent="0.25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</row>
    <row r="9743" spans="1:13" x14ac:dyDescent="0.25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</row>
    <row r="9744" spans="1:13" x14ac:dyDescent="0.25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</row>
    <row r="9745" spans="1:13" x14ac:dyDescent="0.25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</row>
    <row r="9746" spans="1:13" x14ac:dyDescent="0.25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</row>
    <row r="9747" spans="1:13" x14ac:dyDescent="0.25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</row>
    <row r="9748" spans="1:13" x14ac:dyDescent="0.25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</row>
    <row r="9749" spans="1:13" x14ac:dyDescent="0.25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</row>
    <row r="9750" spans="1:13" x14ac:dyDescent="0.25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</row>
    <row r="9751" spans="1:13" x14ac:dyDescent="0.25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</row>
    <row r="9752" spans="1:13" x14ac:dyDescent="0.25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</row>
    <row r="9753" spans="1:13" x14ac:dyDescent="0.25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</row>
    <row r="9754" spans="1:13" x14ac:dyDescent="0.25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</row>
    <row r="9755" spans="1:13" x14ac:dyDescent="0.25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</row>
    <row r="9756" spans="1:13" x14ac:dyDescent="0.25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</row>
    <row r="9757" spans="1:13" x14ac:dyDescent="0.25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</row>
    <row r="9758" spans="1:13" x14ac:dyDescent="0.25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</row>
    <row r="9759" spans="1:13" x14ac:dyDescent="0.25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 x14ac:dyDescent="0.25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</row>
    <row r="9761" spans="1:13" x14ac:dyDescent="0.25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 x14ac:dyDescent="0.25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 x14ac:dyDescent="0.25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</row>
    <row r="9764" spans="1:13" x14ac:dyDescent="0.25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</row>
    <row r="9765" spans="1:13" x14ac:dyDescent="0.25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</row>
    <row r="9766" spans="1:13" x14ac:dyDescent="0.25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 x14ac:dyDescent="0.25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</row>
    <row r="9768" spans="1:13" x14ac:dyDescent="0.25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</row>
    <row r="9769" spans="1:13" x14ac:dyDescent="0.25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 x14ac:dyDescent="0.25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</row>
    <row r="9771" spans="1:13" x14ac:dyDescent="0.25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</row>
    <row r="9772" spans="1:13" x14ac:dyDescent="0.25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</row>
    <row r="9773" spans="1:13" x14ac:dyDescent="0.25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 x14ac:dyDescent="0.25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 x14ac:dyDescent="0.25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 x14ac:dyDescent="0.25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</row>
    <row r="9777" spans="1:13" x14ac:dyDescent="0.25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 x14ac:dyDescent="0.25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</row>
    <row r="9779" spans="1:13" x14ac:dyDescent="0.25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 x14ac:dyDescent="0.25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</row>
    <row r="9781" spans="1:13" x14ac:dyDescent="0.25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</row>
    <row r="9782" spans="1:13" x14ac:dyDescent="0.25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 x14ac:dyDescent="0.25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 x14ac:dyDescent="0.25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</row>
    <row r="9785" spans="1:13" x14ac:dyDescent="0.25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</row>
    <row r="9786" spans="1:13" x14ac:dyDescent="0.25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</row>
    <row r="9787" spans="1:13" x14ac:dyDescent="0.25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 x14ac:dyDescent="0.25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</row>
    <row r="9789" spans="1:13" x14ac:dyDescent="0.25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</row>
    <row r="9790" spans="1:13" x14ac:dyDescent="0.25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 x14ac:dyDescent="0.25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 x14ac:dyDescent="0.25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 x14ac:dyDescent="0.25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</row>
    <row r="9794" spans="1:13" x14ac:dyDescent="0.25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</row>
    <row r="9795" spans="1:13" x14ac:dyDescent="0.25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</row>
    <row r="9796" spans="1:13" x14ac:dyDescent="0.25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</row>
    <row r="9797" spans="1:13" x14ac:dyDescent="0.25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</row>
    <row r="9798" spans="1:13" x14ac:dyDescent="0.25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 x14ac:dyDescent="0.25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</row>
    <row r="9800" spans="1:13" x14ac:dyDescent="0.25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</row>
    <row r="9801" spans="1:13" x14ac:dyDescent="0.25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</row>
    <row r="9802" spans="1:13" x14ac:dyDescent="0.25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</row>
    <row r="9803" spans="1:13" x14ac:dyDescent="0.25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 x14ac:dyDescent="0.25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 x14ac:dyDescent="0.25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 x14ac:dyDescent="0.25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 x14ac:dyDescent="0.25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</row>
    <row r="9808" spans="1:13" x14ac:dyDescent="0.25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 x14ac:dyDescent="0.25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</row>
    <row r="9810" spans="1:13" x14ac:dyDescent="0.25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 x14ac:dyDescent="0.25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 x14ac:dyDescent="0.25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 x14ac:dyDescent="0.25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</row>
    <row r="9814" spans="1:13" x14ac:dyDescent="0.25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 x14ac:dyDescent="0.25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 x14ac:dyDescent="0.25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 x14ac:dyDescent="0.25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</row>
    <row r="9818" spans="1:13" x14ac:dyDescent="0.25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 x14ac:dyDescent="0.25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</row>
    <row r="9820" spans="1:13" x14ac:dyDescent="0.25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</row>
    <row r="9821" spans="1:13" x14ac:dyDescent="0.25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</row>
    <row r="9822" spans="1:13" x14ac:dyDescent="0.25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 x14ac:dyDescent="0.25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 x14ac:dyDescent="0.25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</row>
    <row r="9825" spans="1:13" x14ac:dyDescent="0.25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 x14ac:dyDescent="0.25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</row>
    <row r="9827" spans="1:13" x14ac:dyDescent="0.25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 x14ac:dyDescent="0.25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 x14ac:dyDescent="0.25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 x14ac:dyDescent="0.25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</row>
    <row r="9831" spans="1:13" x14ac:dyDescent="0.25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 x14ac:dyDescent="0.25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 x14ac:dyDescent="0.25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 x14ac:dyDescent="0.25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</row>
    <row r="9835" spans="1:13" x14ac:dyDescent="0.25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</row>
    <row r="9836" spans="1:13" x14ac:dyDescent="0.25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 x14ac:dyDescent="0.25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</row>
    <row r="9838" spans="1:13" x14ac:dyDescent="0.25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</row>
    <row r="9839" spans="1:13" x14ac:dyDescent="0.25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</row>
    <row r="9840" spans="1:13" x14ac:dyDescent="0.25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</row>
    <row r="9841" spans="1:13" x14ac:dyDescent="0.25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 x14ac:dyDescent="0.25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</row>
    <row r="9843" spans="1:13" x14ac:dyDescent="0.25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 x14ac:dyDescent="0.25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</row>
    <row r="9845" spans="1:13" x14ac:dyDescent="0.25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</row>
    <row r="9846" spans="1:13" x14ac:dyDescent="0.25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 x14ac:dyDescent="0.25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</row>
    <row r="9848" spans="1:13" x14ac:dyDescent="0.25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</row>
    <row r="9849" spans="1:13" x14ac:dyDescent="0.25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 x14ac:dyDescent="0.25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</row>
    <row r="9851" spans="1:13" x14ac:dyDescent="0.25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</row>
    <row r="9852" spans="1:13" x14ac:dyDescent="0.25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</row>
    <row r="9853" spans="1:13" x14ac:dyDescent="0.25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</row>
    <row r="9854" spans="1:13" x14ac:dyDescent="0.25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</row>
    <row r="9855" spans="1:13" x14ac:dyDescent="0.25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 x14ac:dyDescent="0.25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 x14ac:dyDescent="0.25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 x14ac:dyDescent="0.25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</row>
    <row r="9859" spans="1:13" x14ac:dyDescent="0.25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 x14ac:dyDescent="0.25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</row>
    <row r="9861" spans="1:13" x14ac:dyDescent="0.25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</row>
    <row r="9862" spans="1:13" x14ac:dyDescent="0.25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</row>
    <row r="9863" spans="1:13" x14ac:dyDescent="0.25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 x14ac:dyDescent="0.25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</row>
    <row r="9865" spans="1:13" x14ac:dyDescent="0.25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 x14ac:dyDescent="0.25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</row>
    <row r="9867" spans="1:13" x14ac:dyDescent="0.25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</row>
    <row r="9868" spans="1:13" x14ac:dyDescent="0.25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</row>
    <row r="9869" spans="1:13" x14ac:dyDescent="0.25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 x14ac:dyDescent="0.25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 x14ac:dyDescent="0.25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</row>
    <row r="9872" spans="1:13" x14ac:dyDescent="0.25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 x14ac:dyDescent="0.25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 x14ac:dyDescent="0.25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</row>
    <row r="9875" spans="1:13" x14ac:dyDescent="0.25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</row>
    <row r="9876" spans="1:13" x14ac:dyDescent="0.25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</row>
    <row r="9877" spans="1:13" x14ac:dyDescent="0.25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</row>
    <row r="9878" spans="1:13" x14ac:dyDescent="0.25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</row>
    <row r="9879" spans="1:13" x14ac:dyDescent="0.25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</row>
    <row r="9880" spans="1:13" x14ac:dyDescent="0.25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 x14ac:dyDescent="0.25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 x14ac:dyDescent="0.25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</row>
    <row r="9883" spans="1:13" x14ac:dyDescent="0.25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</row>
    <row r="9884" spans="1:13" x14ac:dyDescent="0.25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 x14ac:dyDescent="0.25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</row>
    <row r="9886" spans="1:13" x14ac:dyDescent="0.25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</row>
    <row r="9887" spans="1:13" x14ac:dyDescent="0.25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</row>
    <row r="9888" spans="1:13" x14ac:dyDescent="0.25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</row>
    <row r="9889" spans="1:13" x14ac:dyDescent="0.25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 x14ac:dyDescent="0.25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</row>
    <row r="9891" spans="1:13" x14ac:dyDescent="0.25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</row>
    <row r="9892" spans="1:13" x14ac:dyDescent="0.25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</row>
    <row r="9893" spans="1:13" x14ac:dyDescent="0.25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</row>
    <row r="9894" spans="1:13" x14ac:dyDescent="0.25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 x14ac:dyDescent="0.25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</row>
    <row r="9896" spans="1:13" x14ac:dyDescent="0.25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</row>
    <row r="9897" spans="1:13" x14ac:dyDescent="0.25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 x14ac:dyDescent="0.25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 x14ac:dyDescent="0.25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</row>
    <row r="9900" spans="1:13" x14ac:dyDescent="0.25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</row>
    <row r="9901" spans="1:13" x14ac:dyDescent="0.25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</row>
    <row r="9902" spans="1:13" x14ac:dyDescent="0.25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</row>
    <row r="9903" spans="1:13" x14ac:dyDescent="0.25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</row>
    <row r="9904" spans="1:13" x14ac:dyDescent="0.25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 x14ac:dyDescent="0.25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 x14ac:dyDescent="0.25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</row>
    <row r="9907" spans="1:13" x14ac:dyDescent="0.25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 x14ac:dyDescent="0.25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 x14ac:dyDescent="0.25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</row>
    <row r="9910" spans="1:13" x14ac:dyDescent="0.25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 x14ac:dyDescent="0.25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</row>
    <row r="9912" spans="1:13" x14ac:dyDescent="0.25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</row>
    <row r="9913" spans="1:13" x14ac:dyDescent="0.25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</row>
    <row r="9914" spans="1:13" x14ac:dyDescent="0.25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</row>
    <row r="9915" spans="1:13" x14ac:dyDescent="0.25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</row>
    <row r="9916" spans="1:13" x14ac:dyDescent="0.25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 x14ac:dyDescent="0.25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</row>
    <row r="9918" spans="1:13" x14ac:dyDescent="0.25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 x14ac:dyDescent="0.25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 x14ac:dyDescent="0.25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</row>
    <row r="9921" spans="1:13" x14ac:dyDescent="0.25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</row>
    <row r="9922" spans="1:13" x14ac:dyDescent="0.25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 x14ac:dyDescent="0.25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</row>
    <row r="9924" spans="1:13" x14ac:dyDescent="0.25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 x14ac:dyDescent="0.25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</row>
    <row r="9926" spans="1:13" x14ac:dyDescent="0.25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</row>
    <row r="9927" spans="1:13" x14ac:dyDescent="0.25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</row>
    <row r="9928" spans="1:13" x14ac:dyDescent="0.25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</row>
    <row r="9929" spans="1:13" x14ac:dyDescent="0.25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</row>
    <row r="9930" spans="1:13" x14ac:dyDescent="0.25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</row>
    <row r="9931" spans="1:13" x14ac:dyDescent="0.25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 x14ac:dyDescent="0.25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</row>
    <row r="9933" spans="1:13" x14ac:dyDescent="0.25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 x14ac:dyDescent="0.25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 x14ac:dyDescent="0.25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 x14ac:dyDescent="0.25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</row>
    <row r="9937" spans="1:13" x14ac:dyDescent="0.25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</row>
    <row r="9938" spans="1:13" x14ac:dyDescent="0.25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</row>
    <row r="9939" spans="1:13" x14ac:dyDescent="0.2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</row>
    <row r="9940" spans="1:13" x14ac:dyDescent="0.25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 x14ac:dyDescent="0.25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</row>
    <row r="9942" spans="1:13" x14ac:dyDescent="0.25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 x14ac:dyDescent="0.25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</row>
    <row r="9944" spans="1:13" x14ac:dyDescent="0.25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</row>
    <row r="9945" spans="1:13" x14ac:dyDescent="0.25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</row>
    <row r="9946" spans="1:13" x14ac:dyDescent="0.25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</row>
    <row r="9947" spans="1:13" x14ac:dyDescent="0.25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 x14ac:dyDescent="0.25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 x14ac:dyDescent="0.25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</row>
    <row r="9950" spans="1:13" x14ac:dyDescent="0.25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 x14ac:dyDescent="0.25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</row>
    <row r="9952" spans="1:13" x14ac:dyDescent="0.25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</row>
    <row r="9953" spans="1:13" x14ac:dyDescent="0.25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</row>
    <row r="9954" spans="1:13" x14ac:dyDescent="0.25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</row>
    <row r="9955" spans="1:13" x14ac:dyDescent="0.25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</row>
    <row r="9956" spans="1:13" x14ac:dyDescent="0.25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</row>
    <row r="9957" spans="1:13" x14ac:dyDescent="0.25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 x14ac:dyDescent="0.25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 x14ac:dyDescent="0.25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 x14ac:dyDescent="0.25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</row>
    <row r="9961" spans="1:13" x14ac:dyDescent="0.25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 x14ac:dyDescent="0.25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</row>
    <row r="9963" spans="1:13" x14ac:dyDescent="0.25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 x14ac:dyDescent="0.25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 x14ac:dyDescent="0.25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</row>
    <row r="9966" spans="1:13" x14ac:dyDescent="0.25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 x14ac:dyDescent="0.25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</row>
    <row r="9968" spans="1:13" x14ac:dyDescent="0.25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</row>
    <row r="9969" spans="1:13" x14ac:dyDescent="0.25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 x14ac:dyDescent="0.25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</row>
    <row r="9971" spans="1:13" x14ac:dyDescent="0.25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</row>
    <row r="9972" spans="1:13" x14ac:dyDescent="0.25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 x14ac:dyDescent="0.25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</row>
    <row r="9974" spans="1:13" x14ac:dyDescent="0.25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 x14ac:dyDescent="0.25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 x14ac:dyDescent="0.25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</row>
    <row r="9977" spans="1:13" x14ac:dyDescent="0.25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</row>
    <row r="9978" spans="1:13" x14ac:dyDescent="0.25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4A0FA2-FA15-49B8-998C-D05B0CBFEB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superstore_report</vt:lpstr>
      <vt:lpstr>DatasetSize</vt:lpstr>
      <vt:lpstr>Missing value</vt:lpstr>
      <vt:lpstr>Duplicate</vt:lpstr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2026-09-10T05:13:59Z</dcterms:created>
  <dcterms:modified xsi:type="dcterms:W3CDTF">2026-10-17T11:44:40Z</dcterms:modified>
</cp:coreProperties>
</file>