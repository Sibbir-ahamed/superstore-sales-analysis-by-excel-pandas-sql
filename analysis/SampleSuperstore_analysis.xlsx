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uperstore_project\analysis\"/>
    </mc:Choice>
  </mc:AlternateContent>
  <xr:revisionPtr revIDLastSave="0" documentId="13_ncr:1_{36455A4B-3C1D-451E-85BF-7790472A871A}" xr6:coauthVersionLast="47" xr6:coauthVersionMax="47" xr10:uidLastSave="{00000000-0000-0000-0000-000000000000}"/>
  <bookViews>
    <workbookView xWindow="-120" yWindow="-120" windowWidth="29040" windowHeight="15720" tabRatio="830" activeTab="4" xr2:uid="{00000000-000D-0000-FFFF-FFFF00000000}"/>
  </bookViews>
  <sheets>
    <sheet name="superstore_report" sheetId="2" r:id="rId1"/>
    <sheet name="DatasetSize" sheetId="3" r:id="rId2"/>
    <sheet name="Missing value" sheetId="4" r:id="rId3"/>
    <sheet name="Duplicate" sheetId="5" r:id="rId4"/>
    <sheet name="SampleSuperstor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C4" i="4"/>
  <c r="D4" i="4"/>
  <c r="E4" i="4"/>
  <c r="F4" i="4"/>
  <c r="G4" i="4"/>
  <c r="H4" i="4"/>
  <c r="I4" i="4"/>
  <c r="J4" i="4"/>
  <c r="K4" i="4"/>
  <c r="L4" i="4"/>
  <c r="M4" i="4"/>
  <c r="A4" i="4"/>
  <c r="B10" i="3"/>
  <c r="B8" i="3"/>
  <c r="B9" i="3"/>
  <c r="B7" i="3"/>
  <c r="B6" i="3"/>
  <c r="B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216384-76E9-4F75-83CF-8275CF309E1E}" keepAlive="1" name="Query - Table46" description="Connection to the 'Table46' query in the workbook." type="5" refreshedVersion="0" background="1">
    <dbPr connection="Provider=Microsoft.Mashup.OleDb.1;Data Source=$Workbook$;Location=Table46;Extended Properties=&quot;&quot;" command="SELECT * FROM [Table46]"/>
  </connection>
</connections>
</file>

<file path=xl/sharedStrings.xml><?xml version="1.0" encoding="utf-8"?>
<sst xmlns="http://schemas.openxmlformats.org/spreadsheetml/2006/main" count="79986" uniqueCount="666">
  <si>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</si>
  <si>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</si>
  <si>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</si>
  <si>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</si>
  <si>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</si>
  <si>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</si>
  <si>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</si>
  <si>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</si>
  <si>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</si>
  <si>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</si>
  <si>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</si>
  <si>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</si>
  <si>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</si>
  <si>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</si>
  <si>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</si>
  <si>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</si>
  <si>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</si>
  <si>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</si>
  <si>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</si>
  <si>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</si>
  <si>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</si>
  <si>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</si>
  <si>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</si>
  <si>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</si>
  <si>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</si>
  <si>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</si>
  <si>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</si>
  <si>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</si>
  <si>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</si>
  <si>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</si>
  <si>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</si>
  <si>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</si>
  <si>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</si>
  <si>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</si>
  <si>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</si>
  <si>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</si>
  <si>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</si>
  <si>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</si>
  <si>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</si>
  <si>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</si>
  <si>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</si>
  <si>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</si>
  <si>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</si>
  <si>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</si>
  <si>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</si>
  <si>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</si>
  <si>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</si>
  <si>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</si>
  <si>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</si>
  <si>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</si>
  <si>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</si>
  <si>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</si>
  <si>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</si>
  <si>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</si>
  <si>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</si>
  <si>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</si>
  <si>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</si>
  <si>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</si>
  <si>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</si>
  <si>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</si>
  <si>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</si>
  <si>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</si>
  <si>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</si>
  <si>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</si>
  <si>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</si>
  <si>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</si>
  <si>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</si>
  <si>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</si>
  <si>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</si>
  <si>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</si>
  <si>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</si>
  <si>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</si>
  <si>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</si>
  <si>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</si>
  <si>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</si>
  <si>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</si>
  <si>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</si>
  <si>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</si>
  <si>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</si>
  <si>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</si>
  <si>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</si>
  <si>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</si>
  <si>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</si>
  <si>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</si>
  <si>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</si>
  <si>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</si>
  <si>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</si>
  <si>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</si>
  <si>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</si>
  <si>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</si>
  <si>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</si>
  <si>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</si>
  <si>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</si>
  <si>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</si>
  <si>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</si>
  <si>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</si>
  <si>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</si>
  <si>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</si>
  <si>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</si>
  <si>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</si>
  <si>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</si>
  <si>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</si>
  <si>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</si>
  <si>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</si>
  <si>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</si>
  <si>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</si>
  <si>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</si>
  <si>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</si>
  <si>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</si>
  <si>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</si>
  <si>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</si>
  <si>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</si>
  <si>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</si>
  <si>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</si>
  <si>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</si>
  <si>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</si>
  <si>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</si>
  <si>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</si>
  <si>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</si>
  <si>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</si>
  <si>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</si>
  <si>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</si>
  <si>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</si>
  <si>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</si>
  <si>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</si>
  <si>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</si>
  <si>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</si>
  <si>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</si>
  <si>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</si>
  <si>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</si>
  <si>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</si>
  <si>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</si>
  <si>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</si>
  <si>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</si>
  <si>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</si>
  <si>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</si>
  <si>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</si>
  <si>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</si>
  <si>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</si>
  <si>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</si>
  <si>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</si>
  <si>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</si>
  <si>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</si>
  <si>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</si>
  <si>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</si>
  <si>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</si>
  <si>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</si>
  <si>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</si>
  <si>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</si>
  <si>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</si>
  <si>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</si>
  <si>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</si>
  <si>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</si>
  <si>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</si>
  <si>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</si>
  <si>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</si>
  <si>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</si>
  <si>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</si>
  <si>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</si>
  <si>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</si>
  <si>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</si>
  <si>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</si>
  <si>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</si>
  <si>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</si>
  <si>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</si>
  <si>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</si>
  <si>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</si>
  <si>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</si>
  <si>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</si>
  <si>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</si>
  <si>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</si>
  <si>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</si>
  <si>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</si>
  <si>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</si>
  <si>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</si>
  <si>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</si>
  <si>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</si>
  <si>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</si>
  <si>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</si>
  <si>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</si>
  <si>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</si>
  <si>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</si>
  <si>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</si>
  <si>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</si>
  <si>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</si>
  <si>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</si>
  <si>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</si>
  <si>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</si>
  <si>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</si>
  <si>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</si>
  <si>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</si>
  <si>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</si>
  <si>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</si>
  <si>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</si>
  <si>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</si>
  <si>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</si>
  <si>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</si>
  <si>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</si>
  <si>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</si>
  <si>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</si>
  <si>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</si>
  <si>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</si>
  <si>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</si>
  <si>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</si>
  <si>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</si>
  <si>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</si>
  <si>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</si>
  <si>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</si>
  <si>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</si>
  <si>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</si>
  <si>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</si>
  <si>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</si>
  <si>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</si>
  <si>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</si>
  <si>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</si>
  <si>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</si>
  <si>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</si>
  <si>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</si>
  <si>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</si>
  <si>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</si>
  <si>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</si>
  <si>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</si>
  <si>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</si>
  <si>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</si>
  <si>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</si>
  <si>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</si>
  <si>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</si>
  <si>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</si>
  <si>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</si>
  <si>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</si>
  <si>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</si>
  <si>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</si>
  <si>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</si>
  <si>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</si>
  <si>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</si>
  <si>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</si>
  <si>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</si>
  <si>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</si>
  <si>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</si>
  <si>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</si>
  <si>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</si>
  <si>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</si>
  <si>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</si>
  <si>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</si>
  <si>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</si>
  <si>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</si>
  <si>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</si>
  <si>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</si>
  <si>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</si>
  <si>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</si>
  <si>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</si>
  <si>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</si>
  <si>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</si>
  <si>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</si>
  <si>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</si>
  <si>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</si>
  <si>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</si>
  <si>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</si>
  <si>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</si>
  <si>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</si>
  <si>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</si>
  <si>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</si>
  <si>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</si>
  <si>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</si>
  <si>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</si>
  <si>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</si>
  <si>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</si>
  <si>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</si>
  <si>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</si>
  <si>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</si>
  <si>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</si>
  <si>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</si>
  <si>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</si>
  <si>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</si>
  <si>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</si>
  <si>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</si>
  <si>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</si>
  <si>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</si>
  <si>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</si>
  <si>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</si>
  <si>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</si>
  <si>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</si>
  <si>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</si>
  <si>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</si>
  <si>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</si>
  <si>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</si>
  <si>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</si>
  <si>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</si>
  <si>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</si>
  <si>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</si>
  <si>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</si>
  <si>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</si>
  <si>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</si>
  <si>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</si>
  <si>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</si>
  <si>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</si>
  <si>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</si>
  <si>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</si>
  <si>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</si>
  <si>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</si>
  <si>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</si>
  <si>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</si>
  <si>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</si>
  <si>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</si>
  <si>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</si>
  <si>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</si>
  <si>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</si>
  <si>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</si>
  <si>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</si>
  <si>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</si>
  <si>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</si>
  <si>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</si>
  <si>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</si>
  <si>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</si>
  <si>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</si>
  <si>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</si>
  <si>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</si>
  <si>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</si>
  <si>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</si>
  <si>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</si>
  <si>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</si>
  <si>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</si>
  <si>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</si>
  <si>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</si>
  <si>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</si>
  <si>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</si>
  <si>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</si>
  <si>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</si>
  <si>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</si>
  <si>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</si>
  <si>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</si>
  <si>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</si>
  <si>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</si>
  <si>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</si>
  <si>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</si>
  <si>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</si>
  <si>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</si>
  <si>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</si>
  <si>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</si>
  <si>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</si>
  <si>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</si>
  <si>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</si>
  <si>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</si>
  <si>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</si>
  <si>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</si>
  <si>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</si>
  <si>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</si>
  <si>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</si>
  <si>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</si>
  <si>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</si>
  <si>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</si>
  <si>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</si>
  <si>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</si>
  <si>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</si>
  <si>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</si>
  <si>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</si>
  <si>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</si>
  <si>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</si>
  <si>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</si>
  <si>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</si>
  <si>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</si>
  <si>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</si>
  <si>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</si>
  <si>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</si>
  <si>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</si>
  <si>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</si>
  <si>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</si>
  <si>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</si>
  <si>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</si>
  <si>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</si>
  <si>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</si>
  <si>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</si>
  <si>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</si>
  <si>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</si>
  <si>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</si>
  <si>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</si>
  <si>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</si>
  <si>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</si>
  <si>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</si>
  <si>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</si>
  <si>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</si>
  <si>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</si>
  <si>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</si>
  <si>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</si>
  <si>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</si>
  <si>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</si>
  <si>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</si>
  <si>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</si>
  <si>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</si>
  <si>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</si>
  <si>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</si>
  <si>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</si>
  <si>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</si>
  <si>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</si>
  <si>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</si>
  <si>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</si>
  <si>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</si>
  <si>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</si>
  <si>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</si>
  <si>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</si>
  <si>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</si>
  <si>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</si>
  <si>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</si>
  <si>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</si>
  <si>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</si>
  <si>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</si>
  <si>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</si>
  <si>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</si>
  <si>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</si>
  <si>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</si>
  <si>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</si>
  <si>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</si>
  <si>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</si>
  <si>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</si>
  <si>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</si>
  <si>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</si>
  <si>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</si>
  <si>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</si>
  <si>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</si>
  <si>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</si>
  <si>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</si>
  <si>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</si>
  <si>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</si>
  <si>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</si>
  <si>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</si>
  <si>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</si>
  <si>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</si>
  <si>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</si>
  <si>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</si>
  <si>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</si>
  <si>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</si>
  <si>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</si>
  <si>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</si>
  <si>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</si>
  <si>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</si>
  <si>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</si>
  <si>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</si>
  <si>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</si>
  <si>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</si>
  <si>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</si>
  <si>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</si>
  <si>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</si>
  <si>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</si>
  <si>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</si>
  <si>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</si>
  <si>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</si>
  <si>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</si>
  <si>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</si>
  <si>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</si>
  <si>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</si>
  <si>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</si>
  <si>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</si>
  <si>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</si>
  <si>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</si>
  <si>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</si>
  <si>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</si>
  <si>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</si>
  <si>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</si>
  <si>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</si>
  <si>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</si>
  <si>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</si>
  <si>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</si>
  <si>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</si>
  <si>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</si>
  <si>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</si>
  <si>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</si>
  <si>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</si>
  <si>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</si>
  <si>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</si>
  <si>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</si>
  <si>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</si>
  <si>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</si>
  <si>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</si>
  <si>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</si>
  <si>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</si>
  <si>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</si>
  <si>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</si>
  <si>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</si>
  <si>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</si>
  <si>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</si>
  <si>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</si>
  <si>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</si>
  <si>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</si>
  <si>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</si>
  <si>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</si>
  <si>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</si>
  <si>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</si>
  <si>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</si>
  <si>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</si>
  <si>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</si>
  <si>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</si>
  <si>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</si>
  <si>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</si>
  <si>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</si>
  <si>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</si>
  <si>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</si>
  <si>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</si>
  <si>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</si>
  <si>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</si>
  <si>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</si>
  <si>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</si>
  <si>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</si>
  <si>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</si>
  <si>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</si>
  <si>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</si>
  <si>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</si>
  <si>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</si>
  <si>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</si>
  <si>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</si>
  <si>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</si>
  <si>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</si>
  <si>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</si>
  <si>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</si>
  <si>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</si>
  <si>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</si>
  <si>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</si>
  <si>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</si>
  <si>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</si>
  <si>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</si>
  <si>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</si>
  <si>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</si>
  <si>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</si>
  <si>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</si>
  <si>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</si>
  <si>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</si>
  <si>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</si>
  <si>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</si>
  <si>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</si>
  <si>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</si>
  <si>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</si>
  <si>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</si>
  <si>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</si>
  <si>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</si>
  <si>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</si>
  <si>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</si>
  <si>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</si>
  <si>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</si>
  <si>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</si>
  <si>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</si>
  <si>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</si>
  <si>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</si>
  <si>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</si>
  <si>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</si>
  <si>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</si>
  <si>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</si>
  <si>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</si>
  <si>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</si>
  <si>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</si>
  <si>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</si>
  <si>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</si>
  <si>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</si>
  <si>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</si>
  <si>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</si>
  <si>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</si>
  <si>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</si>
  <si>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</si>
  <si>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</si>
  <si>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</si>
  <si>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</si>
  <si>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</si>
  <si>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</si>
  <si>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</si>
  <si>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</si>
  <si>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</si>
  <si>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</si>
  <si>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</si>
  <si>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</si>
  <si>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</si>
  <si>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</si>
  <si>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</si>
  <si>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</si>
  <si>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</si>
  <si>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</si>
  <si>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</si>
  <si>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</si>
  <si>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</si>
  <si>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</si>
  <si>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</si>
  <si>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</si>
  <si>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</si>
  <si>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</si>
  <si>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</si>
  <si>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</si>
  <si>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</si>
  <si>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</si>
  <si>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</si>
  <si>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</si>
  <si>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</si>
  <si>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</si>
  <si>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</si>
  <si>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</si>
  <si>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</si>
  <si>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</si>
  <si>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</si>
  <si>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</si>
  <si>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</si>
  <si>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</si>
  <si>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</si>
  <si>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</si>
  <si>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</si>
  <si>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</si>
  <si>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</si>
  <si>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</si>
  <si>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</si>
  <si>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</si>
  <si>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</si>
  <si>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</si>
  <si>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</si>
  <si>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</si>
  <si>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</si>
  <si>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</si>
  <si>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</si>
  <si>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</si>
  <si>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</si>
  <si>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</si>
  <si>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</si>
  <si>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</si>
  <si>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</si>
  <si>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</si>
  <si>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</si>
  <si>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</si>
  <si>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</si>
  <si>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</si>
  <si>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</si>
  <si>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None</t>
  </si>
  <si>
    <t>SUPERSTORE — DATA QUALITY REPORT</t>
  </si>
  <si>
    <t>SampleSuperstore.xlsx</t>
  </si>
  <si>
    <t>Project</t>
  </si>
  <si>
    <t>Superstore Sales Analysis (Excel)</t>
  </si>
  <si>
    <t>Analyst</t>
  </si>
  <si>
    <t>Report Date</t>
  </si>
  <si>
    <t>(date)</t>
  </si>
  <si>
    <t>Data Source</t>
  </si>
  <si>
    <t>Md Sibbir Ahamed</t>
  </si>
  <si>
    <t>Sheet</t>
  </si>
  <si>
    <t>Purpose</t>
  </si>
  <si>
    <t>Write your own Excel formulas using the hints and enter results in "Result"</t>
  </si>
  <si>
    <t>Metric</t>
  </si>
  <si>
    <t>Result</t>
  </si>
  <si>
    <t>Total rows (excluding header)</t>
  </si>
  <si>
    <t>Total columns</t>
  </si>
  <si>
    <t>Sales: Min / Max / Avg</t>
  </si>
  <si>
    <t>Quantity: Min / Max / Avg</t>
  </si>
  <si>
    <t>Discount: Min / Max / Avg</t>
  </si>
  <si>
    <t>Profit: Min / Max / Avg</t>
  </si>
  <si>
    <t>1. Dataset Size</t>
  </si>
  <si>
    <t>2. Check for Missing Values</t>
  </si>
  <si>
    <t>3. Check for Duplicate Records</t>
  </si>
  <si>
    <t>4. Check Data Types</t>
  </si>
  <si>
    <t>5. Data Quality Report</t>
  </si>
  <si>
    <t xml:space="preserve"> Dataset rows, columns</t>
  </si>
  <si>
    <t xml:space="preserve"> Blank / Unique </t>
  </si>
  <si>
    <t xml:space="preserve"> Finding Dubplicate</t>
  </si>
  <si>
    <t xml:space="preserve"> Dataset Types</t>
  </si>
  <si>
    <t xml:space="preserve"> Final Report</t>
  </si>
  <si>
    <t>Note</t>
  </si>
  <si>
    <t>1. Overall checks</t>
  </si>
  <si>
    <t>Total Missing cells</t>
  </si>
  <si>
    <t>Exact duplicate rows</t>
  </si>
  <si>
    <t>Missing value Finding</t>
  </si>
  <si>
    <t>Formula : =COUNTBLANK(Table1[[#Headers],[Ship Mode]])</t>
  </si>
  <si>
    <t>Note: This Data for example</t>
  </si>
  <si>
    <t>Remove Duplicate : seletec table - Data - Remove Duplicate - Ok</t>
  </si>
  <si>
    <t>ID</t>
  </si>
  <si>
    <t>Origan Data</t>
  </si>
  <si>
    <t>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</si>
</sst>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6"/>
      <color rgb="FF1F4E78"/>
      <name val="Arial"/>
      <family val="2"/>
    </font>
    <font>
      <i/>
      <sz val="10"/>
      <color rgb="FF666666"/>
      <name val="Arial"/>
      <family val="2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92D05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2CC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top"/>
    </xf>
    <xf numFmtId="0" fontId="20" fillId="0" borderId="0" xfId="0" applyFont="1"/>
    <xf numFmtId="0" fontId="22" fillId="36" borderId="0" xfId="0" applyFont="1" applyFill="1"/>
    <xf numFmtId="0" fontId="23" fillId="0" borderId="0" xfId="0" applyFont="1"/>
    <xf numFmtId="0" fontId="24" fillId="0" borderId="0" xfId="0" applyFont="1"/>
    <xf numFmtId="0" fontId="21" fillId="35" borderId="13" xfId="0" applyFont="1" applyFill="1" applyBorder="1"/>
    <xf numFmtId="0" fontId="21" fillId="35" borderId="0" xfId="0" applyFont="1" applyFill="1"/>
    <xf numFmtId="0" fontId="21" fillId="0" borderId="0" xfId="0" applyFont="1" applyAlignment="1">
      <alignment vertical="top" wrapText="1"/>
    </xf>
    <xf numFmtId="0" fontId="22" fillId="36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top" wrapText="1"/>
    </xf>
    <xf numFmtId="0" fontId="13" fillId="0" borderId="11" xfId="0" applyFont="1" applyBorder="1"/>
    <xf numFmtId="0" fontId="13" fillId="0" borderId="12" xfId="0" applyFont="1" applyBorder="1"/>
    <xf numFmtId="0" fontId="18" fillId="0" borderId="0" xfId="0" applyFont="1"/>
    <xf numFmtId="0" fontId="26" fillId="0" borderId="0" xfId="0" applyFont="1"/>
    <xf numFmtId="0" fontId="0" fillId="0" borderId="11" xfId="0" applyBorder="1"/>
    <xf numFmtId="0" fontId="0" fillId="0" borderId="12" xfId="0" applyBorder="1"/>
    <xf numFmtId="0" fontId="0" fillId="37" borderId="11" xfId="0" applyFill="1" applyBorder="1"/>
    <xf numFmtId="0" fontId="0" fillId="37" borderId="12" xfId="0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10" xfId="0" applyFont="1" applyFill="1" applyBorder="1"/>
    <xf numFmtId="0" fontId="0" fillId="37" borderId="10" xfId="0" applyFill="1" applyBorder="1"/>
    <xf numFmtId="0" fontId="0" fillId="0" borderId="10" xfId="0" applyBorder="1"/>
    <xf numFmtId="0" fontId="28" fillId="0" borderId="0" xfId="0" applyFont="1"/>
    <xf numFmtId="0" fontId="27" fillId="0" borderId="0" xfId="0" applyFont="1"/>
    <xf numFmtId="0" fontId="25" fillId="0" borderId="0" xfId="0" applyFont="1"/>
    <xf numFmtId="0" fontId="13" fillId="33" borderId="16" xfId="0" applyFont="1" applyFill="1" applyBorder="1" applyAlignment="1">
      <alignment horizontal="center" vertical="center"/>
    </xf>
    <xf numFmtId="0" fontId="13" fillId="33" borderId="17" xfId="0" applyFont="1" applyFill="1" applyBorder="1" applyAlignment="1">
      <alignment horizontal="center" vertical="center"/>
    </xf>
    <xf numFmtId="0" fontId="13" fillId="33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22" xfId="0" applyFont="1" applyBorder="1"/>
    <xf numFmtId="0" fontId="13" fillId="0" borderId="15" xfId="0" applyFont="1" applyBorder="1"/>
    <xf numFmtId="0" fontId="0" fillId="37" borderId="22" xfId="0" applyFill="1" applyBorder="1"/>
    <xf numFmtId="0" fontId="0" fillId="37" borderId="15" xfId="0" applyFill="1" applyBorder="1"/>
    <xf numFmtId="0" fontId="0" fillId="37" borderId="23" xfId="0" applyFill="1" applyBorder="1"/>
    <xf numFmtId="0" fontId="16" fillId="0" borderId="0" xfId="0" applyFont="1"/>
    <xf numFmtId="0" fontId="0" fillId="37" borderId="0" xfId="0" applyFill="1"/>
    <xf numFmtId="0" fontId="14" fillId="0" borderId="0" xfId="0" applyFont="1"/>
    <xf numFmtId="0" fontId="22" fillId="36" borderId="0" xfId="0" applyFont="1" applyFill="1" applyAlignment="1">
      <alignment horizontal="center"/>
    </xf>
    <xf numFmtId="0" fontId="19" fillId="3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8" borderId="0" xfId="0" applyFill="1"/>
    <xf numFmtId="0" fontId="2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medium">
          <color indexed="64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medium">
          <color indexed="64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F4C554-60E5-45E8-9B66-5F6BCEDCC19F}" name="Table3" displayName="Table3" ref="A3:M4" totalsRowShown="0" headerRowDxfId="47" dataDxfId="45" headerRowBorderDxfId="46" tableBorderDxfId="44" totalsRowBorderDxfId="43">
  <tableColumns count="13">
    <tableColumn id="1" xr3:uid="{00CD2371-E5D6-4B39-9F16-52D9463FDDEE}" name="Ship Mode" dataDxfId="42">
      <calculatedColumnFormula>COUNTBLANK(Table1[Ship Mode])</calculatedColumnFormula>
    </tableColumn>
    <tableColumn id="2" xr3:uid="{01EA544B-9BAB-4207-B981-62057DE1B290}" name="Segment" dataDxfId="41">
      <calculatedColumnFormula>COUNTBLANK(Table1[Segment])</calculatedColumnFormula>
    </tableColumn>
    <tableColumn id="3" xr3:uid="{537AA737-F3BD-4FCD-B5F2-F628BA67D1E8}" name="Country" dataDxfId="40">
      <calculatedColumnFormula>COUNTBLANK(Table1[Country])</calculatedColumnFormula>
    </tableColumn>
    <tableColumn id="4" xr3:uid="{1AEA1623-313C-491E-9428-044F2AC97822}" name="City" dataDxfId="39">
      <calculatedColumnFormula>COUNTBLANK(Table1[City])</calculatedColumnFormula>
    </tableColumn>
    <tableColumn id="5" xr3:uid="{83B45E45-5A28-47FE-AADC-4B5F415E26A0}" name="State" dataDxfId="38">
      <calculatedColumnFormula>COUNTBLANK(Table1[State])</calculatedColumnFormula>
    </tableColumn>
    <tableColumn id="6" xr3:uid="{264A3D8A-00E5-4892-9242-6013F27D97AB}" name="Postal Code" dataDxfId="37">
      <calculatedColumnFormula>COUNTBLANK(Table1[Postal Code])</calculatedColumnFormula>
    </tableColumn>
    <tableColumn id="7" xr3:uid="{5B69CB11-8B3B-49E1-A6F8-76903ECB199D}" name="Region" dataDxfId="36">
      <calculatedColumnFormula>COUNTBLANK(Table1[Region])</calculatedColumnFormula>
    </tableColumn>
    <tableColumn id="8" xr3:uid="{B6EDFFF9-9F79-466F-8170-40C4CD585425}" name="Category" dataDxfId="35">
      <calculatedColumnFormula>COUNTBLANK(Table1[Category])</calculatedColumnFormula>
    </tableColumn>
    <tableColumn id="9" xr3:uid="{48EE80DB-0C3C-4700-95BB-7D443FDCA35F}" name="Sub-Category" dataDxfId="34">
      <calculatedColumnFormula>COUNTBLANK(Table1[Sub-Category])</calculatedColumnFormula>
    </tableColumn>
    <tableColumn id="10" xr3:uid="{A38565DA-7DA6-4FB3-9AC1-53D61D1D7DE1}" name="Sales" dataDxfId="33">
      <calculatedColumnFormula>COUNTBLANK(Table1[Sales])</calculatedColumnFormula>
    </tableColumn>
    <tableColumn id="11" xr3:uid="{6879312E-0347-4F16-B0B8-6F637393C3C2}" name="Quantity" dataDxfId="32">
      <calculatedColumnFormula>COUNTBLANK(Table1[Quantity])</calculatedColumnFormula>
    </tableColumn>
    <tableColumn id="12" xr3:uid="{2D6C17B5-854F-4BDB-BFA2-4C3B20F9BCD1}" name="Discount" dataDxfId="31">
      <calculatedColumnFormula>COUNTBLANK(Table1[Discount])</calculatedColumnFormula>
    </tableColumn>
    <tableColumn id="13" xr3:uid="{115A7D1A-2A8A-4BAC-BC1F-AC72B6D8AD2B}" name="Profit" dataDxfId="30">
      <calculatedColumnFormula>COUNTBLANK(Table1[Profit])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F4752-364B-40F0-B115-20A242AE40F6}" name="Table4" displayName="Table4" ref="A3:N12" totalsRowShown="0" headerRowDxfId="27" dataDxfId="26">
  <tableColumns count="14">
    <tableColumn id="1" xr3:uid="{3DBC47DA-CA98-4DE8-829C-E1ADB5EAFFE3}" name="ID"/>
    <tableColumn id="2" xr3:uid="{257A9D8F-3636-47D1-B9C5-9A61FE4EAA53}" name="Ship Mode"/>
    <tableColumn id="3" xr3:uid="{D2992902-7724-457E-91C4-086BFBC846DC}" name="Segment" dataDxfId="25"/>
    <tableColumn id="4" xr3:uid="{AB5ADB37-AD3E-42BD-A9B8-0A5020F5A5B4}" name="Country" dataDxfId="24"/>
    <tableColumn id="5" xr3:uid="{360CE839-60BE-429B-89A0-E96CA3FDE545}" name="City" dataDxfId="23"/>
    <tableColumn id="6" xr3:uid="{4CC4A052-BC1D-483D-AEF8-8FC0769E118D}" name="State" dataDxfId="22"/>
    <tableColumn id="7" xr3:uid="{ACB0A7E5-D835-41AD-AF47-F9EC41C64316}" name="Postal Code" dataDxfId="21"/>
    <tableColumn id="8" xr3:uid="{FD89F08E-ADFA-4DBA-9D6F-39F01A505523}" name="Region" dataDxfId="20"/>
    <tableColumn id="9" xr3:uid="{996DE616-8238-4F8D-A846-0F2D5DD40847}" name="Category" dataDxfId="19"/>
    <tableColumn id="10" xr3:uid="{5A0BF4B8-0332-463B-B12C-6E8B8F013132}" name="Sub-Category" dataDxfId="18"/>
    <tableColumn id="11" xr3:uid="{B8F97871-6D2B-44E6-8728-95445D141B42}" name="Sales" dataDxfId="17"/>
    <tableColumn id="12" xr3:uid="{1C037521-453C-4EB9-BF8D-202CD164C6B3}" name="Quantity" dataDxfId="16"/>
    <tableColumn id="13" xr3:uid="{10E935E4-4F9C-4D6D-9732-2F9EE2D5BE53}" name="Discount" dataDxfId="15"/>
    <tableColumn id="14" xr3:uid="{7A7A5917-0926-43A0-B34B-899ED0715740}" name="Profi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6D69DF-CBE2-434A-8C88-2C162D3F8B2B}" name="Table46" displayName="Table46" ref="A16:N21" totalsRowShown="0" headerRowDxfId="13" dataDxfId="12">
  <tableColumns count="14">
    <tableColumn id="1" xr3:uid="{69AC5488-A715-4B2F-9D7B-9F8009A49119}" name="ID"/>
    <tableColumn id="2" xr3:uid="{09AA5B8F-F13A-4EE1-91D0-525DC4572DB7}" name="Ship Mode"/>
    <tableColumn id="3" xr3:uid="{D8A7AA49-EAF4-4E40-92F1-698C28DBE7D6}" name="Segment" dataDxfId="11"/>
    <tableColumn id="4" xr3:uid="{D06E4705-64DC-4E14-9910-E998EEE50006}" name="Country" dataDxfId="10"/>
    <tableColumn id="5" xr3:uid="{03E3B71F-09E8-4A06-B1C0-3760E6F2E343}" name="City" dataDxfId="9"/>
    <tableColumn id="6" xr3:uid="{0CB0FD90-17BF-4F60-90D5-97A87F8A017F}" name="State" dataDxfId="8"/>
    <tableColumn id="7" xr3:uid="{2500CA10-75AB-49C7-A3DA-D153E66C27B0}" name="Postal Code" dataDxfId="7"/>
    <tableColumn id="8" xr3:uid="{771881AF-C5D3-4ADE-95F5-E11B4D7E5F2D}" name="Region" dataDxfId="6"/>
    <tableColumn id="9" xr3:uid="{5DEDB9C4-3AF4-4AB9-871F-FEE858467A58}" name="Category" dataDxfId="5"/>
    <tableColumn id="10" xr3:uid="{CAC42EF6-79ED-48B4-8257-3B33315161F9}" name="Sub-Category" dataDxfId="4"/>
    <tableColumn id="11" xr3:uid="{105FCA65-523F-481F-84AE-0C54D86DE3B7}" name="Sales" dataDxfId="3"/>
    <tableColumn id="12" xr3:uid="{BA94A676-2A3D-4521-A9E3-CAA87D01B22E}" name="Quantity" dataDxfId="2"/>
    <tableColumn id="13" xr3:uid="{C50CD2CD-9729-4591-864A-04E54B71BBFE}" name="Discount" dataDxfId="1"/>
    <tableColumn id="14" xr3:uid="{E292E4FA-E2C7-4D44-AC76-1D403F52EAD8}" name="Profit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EF9E3-5D28-4320-BCB9-72DA41A27798}" name="Table1" displayName="Table1" ref="A1:M9978" totalsRowShown="0">
  <tableColumns count="13">
    <tableColumn id="1" xr3:uid="{08E06ED9-8C43-4DAE-A5F2-0EC3695C450F}" name="Ship Mode"/>
    <tableColumn id="2" xr3:uid="{E3C18FFE-66B5-4F0B-9583-261841BBF16F}" name="Segment"/>
    <tableColumn id="3" xr3:uid="{4582FA7B-E9A3-44B1-9F1A-BCA6BF4F0B01}" name="Country"/>
    <tableColumn id="4" xr3:uid="{621FF0AB-C212-4AB3-8E42-5E90660BAE6D}" name="City"/>
    <tableColumn id="5" xr3:uid="{2F28792B-8745-460F-8829-33F83638FFD8}" name="State"/>
    <tableColumn id="6" xr3:uid="{EE128A3D-0629-4323-B8EC-A1630C3B1306}" name="Postal Code"/>
    <tableColumn id="7" xr3:uid="{B9F64CFC-F276-48B7-A37D-9D1290BCF438}" name="Region"/>
    <tableColumn id="8" xr3:uid="{EF2D1F1B-3511-428F-A74D-F4CB0E266920}" name="Category"/>
    <tableColumn id="9" xr3:uid="{66C1692A-E5BA-413E-A36D-34384CDC3A52}" name="Sub-Category"/>
    <tableColumn id="10" xr3:uid="{6DE6DE68-405D-4274-9D1E-AD1AD31C55DC}" name="Sales"/>
    <tableColumn id="11" xr3:uid="{4366FA41-6716-4AF2-BF7A-0E039AF675F1}" name="Quantity"/>
    <tableColumn id="12" xr3:uid="{F453AD7F-08DE-45B7-95D8-658CE01B15AE}" name="Discount"/>
    <tableColumn id="13" xr3:uid="{0BB3F8BB-81A7-4D81-9E72-37D4033C388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2C84-1B22-42D0-A387-167B82915012}">
  <dimension ref="A1:M17"/>
  <sheetViews>
    <sheetView workbookViewId="0">
      <selection activeCell="I21" sqref="I21"/>
    </sheetView>
  </sheetViews>
  <sheetFormatPr defaultRowHeight="15" x14ac:dyDescent="0.25"/>
  <cols>
    <col min="1" max="1" width="20" customWidth="1"/>
  </cols>
  <sheetData>
    <row r="1" spans="1:13" x14ac:dyDescent="0.25">
      <c r="A1" s="42" t="s">
        <v>625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x14ac:dyDescent="0.25">
      <c r="A3" s="2" t="s">
        <v>627</v>
      </c>
      <c r="B3" s="6" t="s">
        <v>628</v>
      </c>
      <c r="C3" s="6"/>
      <c r="D3" s="6"/>
      <c r="E3" s="6"/>
      <c r="F3" s="2"/>
      <c r="G3" s="1"/>
      <c r="H3" s="1"/>
      <c r="I3" s="1"/>
      <c r="J3" s="1"/>
      <c r="K3" s="1"/>
      <c r="L3" s="1"/>
      <c r="M3" s="1"/>
    </row>
    <row r="4" spans="1:13" x14ac:dyDescent="0.25">
      <c r="A4" s="2" t="s">
        <v>629</v>
      </c>
      <c r="B4" s="7" t="s">
        <v>633</v>
      </c>
      <c r="C4" s="7"/>
      <c r="D4" s="7"/>
      <c r="E4" s="7"/>
      <c r="F4" s="2"/>
      <c r="G4" s="1"/>
      <c r="H4" s="1"/>
      <c r="I4" s="1"/>
      <c r="J4" s="1"/>
      <c r="K4" s="1"/>
      <c r="L4" s="1"/>
      <c r="M4" s="1"/>
    </row>
    <row r="5" spans="1:13" x14ac:dyDescent="0.25">
      <c r="A5" s="2" t="s">
        <v>630</v>
      </c>
      <c r="B5" s="7" t="s">
        <v>631</v>
      </c>
      <c r="C5" s="7"/>
      <c r="D5" s="7"/>
      <c r="E5" s="7"/>
      <c r="F5" s="2"/>
    </row>
    <row r="6" spans="1:13" x14ac:dyDescent="0.25">
      <c r="A6" s="2" t="s">
        <v>632</v>
      </c>
      <c r="B6" s="7" t="s">
        <v>626</v>
      </c>
      <c r="C6" s="7"/>
      <c r="D6" s="7"/>
      <c r="E6" s="7"/>
      <c r="F6" s="2"/>
    </row>
    <row r="7" spans="1:13" x14ac:dyDescent="0.25">
      <c r="A7" s="2"/>
      <c r="B7" s="2"/>
      <c r="C7" s="2"/>
      <c r="D7" s="2"/>
      <c r="E7" s="2"/>
      <c r="F7" s="2"/>
    </row>
    <row r="8" spans="1:13" x14ac:dyDescent="0.25">
      <c r="A8" s="2"/>
      <c r="B8" s="2"/>
      <c r="C8" s="2"/>
      <c r="D8" s="2"/>
      <c r="E8" s="2"/>
      <c r="F8" s="2"/>
    </row>
    <row r="11" spans="1:13" x14ac:dyDescent="0.25">
      <c r="A11" s="3" t="s">
        <v>634</v>
      </c>
      <c r="B11" s="41" t="s">
        <v>635</v>
      </c>
      <c r="C11" s="41"/>
      <c r="D11" s="41"/>
      <c r="E11" s="41"/>
      <c r="F11" s="41"/>
      <c r="G11" s="41"/>
    </row>
    <row r="12" spans="1:13" x14ac:dyDescent="0.25">
      <c r="A12" s="43" t="s">
        <v>645</v>
      </c>
      <c r="B12" s="43"/>
      <c r="C12" s="44" t="s">
        <v>650</v>
      </c>
      <c r="D12" s="44"/>
      <c r="E12" s="44"/>
      <c r="F12" s="44"/>
      <c r="G12" s="44"/>
    </row>
    <row r="13" spans="1:13" x14ac:dyDescent="0.25">
      <c r="A13" s="43" t="s">
        <v>646</v>
      </c>
      <c r="B13" s="43"/>
      <c r="C13" s="44" t="s">
        <v>651</v>
      </c>
      <c r="D13" s="44"/>
      <c r="E13" s="44"/>
      <c r="F13" s="44"/>
      <c r="G13" s="44"/>
    </row>
    <row r="14" spans="1:13" x14ac:dyDescent="0.25">
      <c r="A14" s="43" t="s">
        <v>647</v>
      </c>
      <c r="B14" s="43"/>
      <c r="C14" s="44" t="s">
        <v>652</v>
      </c>
      <c r="D14" s="44"/>
      <c r="E14" s="44"/>
      <c r="F14" s="44"/>
      <c r="G14" s="44"/>
    </row>
    <row r="15" spans="1:13" x14ac:dyDescent="0.25">
      <c r="A15" s="43" t="s">
        <v>648</v>
      </c>
      <c r="B15" s="43"/>
      <c r="C15" s="44" t="s">
        <v>653</v>
      </c>
      <c r="D15" s="44"/>
      <c r="E15" s="44"/>
      <c r="F15" s="44"/>
      <c r="G15" s="44"/>
    </row>
    <row r="16" spans="1:13" x14ac:dyDescent="0.25">
      <c r="A16" s="43" t="s">
        <v>649</v>
      </c>
      <c r="B16" s="43"/>
      <c r="C16" s="44" t="s">
        <v>654</v>
      </c>
      <c r="D16" s="44"/>
      <c r="E16" s="44"/>
      <c r="F16" s="44"/>
      <c r="G16" s="44"/>
    </row>
    <row r="17" spans="1:1" x14ac:dyDescent="0.25">
      <c r="A17" s="2"/>
    </row>
  </sheetData>
  <mergeCells count="12">
    <mergeCell ref="A16:B16"/>
    <mergeCell ref="C12:G12"/>
    <mergeCell ref="C13:G13"/>
    <mergeCell ref="C14:G14"/>
    <mergeCell ref="C15:G15"/>
    <mergeCell ref="C16:G16"/>
    <mergeCell ref="A12:B12"/>
    <mergeCell ref="B11:G11"/>
    <mergeCell ref="A1:M2"/>
    <mergeCell ref="A13:B13"/>
    <mergeCell ref="A14:B14"/>
    <mergeCell ref="A15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E9A5-B423-4644-A3B0-BCDC9AEADDB9}">
  <dimension ref="A1:C15"/>
  <sheetViews>
    <sheetView zoomScaleNormal="100" workbookViewId="0">
      <selection activeCell="C20" sqref="C20"/>
    </sheetView>
  </sheetViews>
  <sheetFormatPr defaultRowHeight="15" x14ac:dyDescent="0.25"/>
  <cols>
    <col min="1" max="1" width="35.140625" customWidth="1"/>
    <col min="2" max="2" width="42.140625" bestFit="1" customWidth="1"/>
    <col min="3" max="3" width="21.5703125" customWidth="1"/>
  </cols>
  <sheetData>
    <row r="1" spans="1:3" ht="20.25" x14ac:dyDescent="0.3">
      <c r="A1" s="4" t="s">
        <v>656</v>
      </c>
    </row>
    <row r="2" spans="1:3" x14ac:dyDescent="0.25">
      <c r="A2" s="5" t="s">
        <v>636</v>
      </c>
    </row>
    <row r="4" spans="1:3" ht="19.5" customHeight="1" x14ac:dyDescent="0.25">
      <c r="A4" s="9" t="s">
        <v>637</v>
      </c>
      <c r="B4" s="9" t="s">
        <v>638</v>
      </c>
      <c r="C4" s="9" t="s">
        <v>655</v>
      </c>
    </row>
    <row r="5" spans="1:3" x14ac:dyDescent="0.25">
      <c r="A5" s="10" t="s">
        <v>639</v>
      </c>
      <c r="B5" s="10">
        <f>ROWS(Table1[[#All],[Country]])-1</f>
        <v>9977</v>
      </c>
      <c r="C5" s="10"/>
    </row>
    <row r="6" spans="1:3" x14ac:dyDescent="0.25">
      <c r="A6" s="10" t="s">
        <v>640</v>
      </c>
      <c r="B6" s="10">
        <f>COLUMNS(Table1[[Country]:[Profit]])</f>
        <v>11</v>
      </c>
      <c r="C6" s="10"/>
    </row>
    <row r="7" spans="1:3" x14ac:dyDescent="0.25">
      <c r="A7" s="10" t="s">
        <v>641</v>
      </c>
      <c r="B7" s="10" t="str">
        <f>"Min: "&amp;TEXT(MIN(Table1[Sales]),"#,##0.00")&amp;" | Max: "&amp;TEXT(MAX(Table1[Sales]),"#,##0.00")&amp;" | Avg: "&amp;TEXT(AVERAGE(Table1[Sales]),"#,##0.00")</f>
        <v>Min: 0.44 | Max: 22,638.48 | Avg: 230.15</v>
      </c>
      <c r="C7" s="10"/>
    </row>
    <row r="8" spans="1:3" x14ac:dyDescent="0.25">
      <c r="A8" s="10" t="s">
        <v>642</v>
      </c>
      <c r="B8" s="10" t="str">
        <f>"Min: "&amp;MIN(Table1[Quantity])&amp;" | Max: "&amp;MAX(Table1[Quantity])&amp;" | Avg: "&amp;ROUND(AVERAGE(Table1[Quantity]),2)</f>
        <v>Min: 1 | Max: 14 | Avg: 3.79</v>
      </c>
      <c r="C8" s="10"/>
    </row>
    <row r="9" spans="1:3" x14ac:dyDescent="0.25">
      <c r="A9" s="10" t="s">
        <v>643</v>
      </c>
      <c r="B9" s="10" t="str">
        <f>"Min: "&amp;MIN(Table1[Discount])&amp;" | Max: "&amp;MAX(Table1[Discount])&amp;" | Avg: "&amp;ROUND(AVERAGE(Table1[Discount]),2)</f>
        <v>Min: 0 | Max: 0.8 | Avg: 0.16</v>
      </c>
      <c r="C9" s="10"/>
    </row>
    <row r="10" spans="1:3" x14ac:dyDescent="0.25">
      <c r="A10" s="10" t="s">
        <v>644</v>
      </c>
      <c r="B10" s="10" t="str">
        <f>"Min: "&amp;TEXT(MIN(Table1[Profit]),"#,##0.00")&amp;" | Max: "&amp;TEXT(MAX(Table1[Profit]),"#,##0.00")&amp;" | Avg: "&amp;TEXT(AVERAGE(Table1[Profit]),"#,##0.00")</f>
        <v>Min: -6,599.98 | Max: 8,399.98 | Avg: 28.69</v>
      </c>
      <c r="C10" s="10"/>
    </row>
    <row r="11" spans="1:3" ht="15.75" customHeight="1" x14ac:dyDescent="0.25">
      <c r="A11" s="10" t="s">
        <v>657</v>
      </c>
      <c r="B11" s="10">
        <v>47</v>
      </c>
      <c r="C11" s="10"/>
    </row>
    <row r="12" spans="1:3" x14ac:dyDescent="0.25">
      <c r="A12" s="10" t="s">
        <v>658</v>
      </c>
      <c r="B12" s="10">
        <v>17</v>
      </c>
      <c r="C12" s="10"/>
    </row>
    <row r="13" spans="1:3" x14ac:dyDescent="0.25">
      <c r="A13" s="8"/>
      <c r="B13" s="8"/>
      <c r="C13" s="8"/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F408-F3B7-4DA7-960D-4ECD3A2E0540}">
  <dimension ref="A1:M15"/>
  <sheetViews>
    <sheetView workbookViewId="0">
      <selection activeCell="G19" sqref="G19"/>
    </sheetView>
  </sheetViews>
  <sheetFormatPr defaultRowHeight="15" x14ac:dyDescent="0.25"/>
  <cols>
    <col min="1" max="1" width="14.7109375" bestFit="1" customWidth="1"/>
    <col min="2" max="2" width="17.85546875" customWidth="1"/>
    <col min="3" max="3" width="16.85546875" customWidth="1"/>
    <col min="4" max="4" width="10.140625" customWidth="1"/>
    <col min="5" max="5" width="13.28515625" customWidth="1"/>
    <col min="6" max="6" width="15.5703125" customWidth="1"/>
    <col min="7" max="7" width="13.140625" customWidth="1"/>
    <col min="8" max="8" width="12.28515625" bestFit="1" customWidth="1"/>
    <col min="9" max="9" width="18" bestFit="1" customWidth="1"/>
    <col min="10" max="10" width="9.140625" customWidth="1"/>
    <col min="11" max="12" width="12" bestFit="1" customWidth="1"/>
    <col min="13" max="13" width="14.140625" customWidth="1"/>
  </cols>
  <sheetData>
    <row r="1" spans="1:13" ht="18.75" x14ac:dyDescent="0.3">
      <c r="A1" s="13" t="s">
        <v>659</v>
      </c>
      <c r="D1" t="s">
        <v>660</v>
      </c>
    </row>
    <row r="2" spans="1:13" ht="12.75" customHeight="1" x14ac:dyDescent="0.35">
      <c r="A2" s="24"/>
      <c r="B2" s="24"/>
      <c r="C2" s="2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9" t="s">
        <v>12</v>
      </c>
    </row>
    <row r="4" spans="1:13" ht="33" customHeight="1" x14ac:dyDescent="0.25">
      <c r="A4" s="30">
        <f>COUNTBLANK(Table1[Ship Mode])</f>
        <v>12</v>
      </c>
      <c r="B4" s="31">
        <f>COUNTBLANK(Table1[Segment])</f>
        <v>0</v>
      </c>
      <c r="C4" s="31">
        <f>COUNTBLANK(Table1[Country])</f>
        <v>0</v>
      </c>
      <c r="D4" s="31">
        <f>COUNTBLANK(Table1[City])</f>
        <v>0</v>
      </c>
      <c r="E4" s="31">
        <f>COUNTBLANK(Table1[State])</f>
        <v>10</v>
      </c>
      <c r="F4" s="31">
        <f>COUNTBLANK(Table1[Postal Code])</f>
        <v>11</v>
      </c>
      <c r="G4" s="31">
        <f>COUNTBLANK(Table1[Region])</f>
        <v>1</v>
      </c>
      <c r="H4" s="31">
        <f>COUNTBLANK(Table1[Category])</f>
        <v>9</v>
      </c>
      <c r="I4" s="31">
        <f>COUNTBLANK(Table1[Sub-Category])</f>
        <v>4</v>
      </c>
      <c r="J4" s="31">
        <f>COUNTBLANK(Table1[Sales])</f>
        <v>0</v>
      </c>
      <c r="K4" s="31">
        <f>COUNTBLANK(Table1[Quantity])</f>
        <v>0</v>
      </c>
      <c r="L4" s="31">
        <f>COUNTBLANK(Table1[Discount])</f>
        <v>0</v>
      </c>
      <c r="M4" s="32">
        <f>COUNTBLANK(Table1[Profit])</f>
        <v>0</v>
      </c>
    </row>
    <row r="5" spans="1:13" ht="15.75" x14ac:dyDescent="0.25">
      <c r="A5" s="25"/>
      <c r="B5" s="26"/>
      <c r="C5" s="26"/>
    </row>
    <row r="6" spans="1:13" ht="15.75" x14ac:dyDescent="0.25">
      <c r="A6" s="25"/>
      <c r="B6" s="26"/>
      <c r="C6" s="26"/>
    </row>
    <row r="7" spans="1:13" ht="15.75" x14ac:dyDescent="0.25">
      <c r="A7" s="25"/>
      <c r="B7" s="26"/>
      <c r="C7" s="26"/>
    </row>
    <row r="8" spans="1:13" ht="15.75" x14ac:dyDescent="0.25">
      <c r="A8" s="25"/>
      <c r="B8" s="26"/>
      <c r="C8" s="26"/>
    </row>
    <row r="9" spans="1:13" ht="15.75" x14ac:dyDescent="0.25">
      <c r="A9" s="46"/>
      <c r="B9" s="26"/>
      <c r="C9" s="26"/>
    </row>
    <row r="10" spans="1:13" ht="15.75" x14ac:dyDescent="0.25">
      <c r="A10" s="46"/>
      <c r="B10" s="26"/>
      <c r="C10" s="26"/>
    </row>
    <row r="11" spans="1:13" ht="15.75" x14ac:dyDescent="0.25">
      <c r="A11" s="25"/>
      <c r="B11" s="26"/>
      <c r="C11" s="26"/>
    </row>
    <row r="12" spans="1:13" ht="15.75" x14ac:dyDescent="0.25">
      <c r="A12" s="25"/>
      <c r="B12" s="26"/>
      <c r="C12" s="26"/>
    </row>
    <row r="13" spans="1:13" ht="15.75" x14ac:dyDescent="0.25">
      <c r="A13" s="25"/>
      <c r="B13" s="26"/>
      <c r="C13" s="26"/>
    </row>
    <row r="14" spans="1:13" ht="15.75" x14ac:dyDescent="0.25">
      <c r="A14" s="25"/>
      <c r="B14" s="26"/>
      <c r="C14" s="26"/>
    </row>
    <row r="15" spans="1:13" ht="15.75" x14ac:dyDescent="0.25">
      <c r="A15" s="25"/>
      <c r="B15" s="26"/>
      <c r="C15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2997-0D4A-49CE-9D6A-5DE88F3E5D8F}">
  <dimension ref="A1:N27"/>
  <sheetViews>
    <sheetView workbookViewId="0">
      <selection activeCell="G29" sqref="G29"/>
    </sheetView>
  </sheetViews>
  <sheetFormatPr defaultRowHeight="15" x14ac:dyDescent="0.25"/>
  <cols>
    <col min="1" max="1" width="4.28515625" customWidth="1"/>
    <col min="2" max="2" width="12.7109375" customWidth="1"/>
    <col min="3" max="3" width="12.85546875" bestFit="1" customWidth="1"/>
    <col min="4" max="4" width="15" bestFit="1" customWidth="1"/>
    <col min="5" max="5" width="14" bestFit="1" customWidth="1"/>
    <col min="6" max="6" width="11.42578125" bestFit="1" customWidth="1"/>
    <col min="7" max="7" width="13.5703125" customWidth="1"/>
    <col min="8" max="8" width="14.5703125" bestFit="1" customWidth="1"/>
    <col min="9" max="9" width="12.85546875" bestFit="1" customWidth="1"/>
    <col min="10" max="10" width="15" customWidth="1"/>
    <col min="11" max="11" width="8.7109375" bestFit="1" customWidth="1"/>
    <col min="12" max="13" width="10.85546875" customWidth="1"/>
  </cols>
  <sheetData>
    <row r="1" spans="1:14" x14ac:dyDescent="0.25">
      <c r="A1" s="38" t="s">
        <v>662</v>
      </c>
    </row>
    <row r="2" spans="1:14" x14ac:dyDescent="0.25">
      <c r="B2" s="45" t="s">
        <v>664</v>
      </c>
    </row>
    <row r="3" spans="1:14" x14ac:dyDescent="0.25">
      <c r="A3" t="s">
        <v>663</v>
      </c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7</v>
      </c>
      <c r="J3" s="19" t="s">
        <v>8</v>
      </c>
      <c r="K3" s="19" t="s">
        <v>9</v>
      </c>
      <c r="L3" s="19" t="s">
        <v>10</v>
      </c>
      <c r="M3" s="19" t="s">
        <v>11</v>
      </c>
      <c r="N3" s="20" t="s">
        <v>12</v>
      </c>
    </row>
    <row r="4" spans="1:14" x14ac:dyDescent="0.25">
      <c r="A4">
        <v>1</v>
      </c>
      <c r="B4" s="22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>
        <v>42420</v>
      </c>
      <c r="H4" s="17" t="s">
        <v>18</v>
      </c>
      <c r="I4" s="17" t="s">
        <v>19</v>
      </c>
      <c r="J4" s="17" t="s">
        <v>20</v>
      </c>
      <c r="K4" s="17">
        <v>261.95999999999998</v>
      </c>
      <c r="L4" s="17">
        <v>2</v>
      </c>
      <c r="M4" s="17">
        <v>0</v>
      </c>
      <c r="N4" s="18">
        <v>41.913600000000002</v>
      </c>
    </row>
    <row r="5" spans="1:14" x14ac:dyDescent="0.25">
      <c r="A5">
        <v>2</v>
      </c>
      <c r="B5" s="23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>
        <v>42420</v>
      </c>
      <c r="H5" s="15" t="s">
        <v>18</v>
      </c>
      <c r="I5" s="15" t="s">
        <v>19</v>
      </c>
      <c r="J5" s="15" t="s">
        <v>21</v>
      </c>
      <c r="K5" s="15">
        <v>731.94</v>
      </c>
      <c r="L5" s="15">
        <v>3</v>
      </c>
      <c r="M5" s="15">
        <v>0</v>
      </c>
      <c r="N5" s="16">
        <v>219.58199999999999</v>
      </c>
    </row>
    <row r="6" spans="1:14" x14ac:dyDescent="0.25">
      <c r="A6">
        <v>3</v>
      </c>
      <c r="B6" s="22" t="s">
        <v>13</v>
      </c>
      <c r="C6" s="17" t="s">
        <v>22</v>
      </c>
      <c r="D6" s="17" t="s">
        <v>15</v>
      </c>
      <c r="E6" s="17" t="s">
        <v>23</v>
      </c>
      <c r="F6" s="17" t="s">
        <v>24</v>
      </c>
      <c r="G6" s="17">
        <v>90036</v>
      </c>
      <c r="H6" s="17" t="s">
        <v>25</v>
      </c>
      <c r="I6" s="17" t="s">
        <v>26</v>
      </c>
      <c r="J6" s="17" t="s">
        <v>27</v>
      </c>
      <c r="K6" s="17">
        <v>14.62</v>
      </c>
      <c r="L6" s="17">
        <v>2</v>
      </c>
      <c r="M6" s="17">
        <v>0</v>
      </c>
      <c r="N6" s="18">
        <v>6.8714000000000004</v>
      </c>
    </row>
    <row r="7" spans="1:14" x14ac:dyDescent="0.25">
      <c r="A7">
        <v>4</v>
      </c>
      <c r="B7" s="23" t="s">
        <v>28</v>
      </c>
      <c r="C7" s="15" t="s">
        <v>14</v>
      </c>
      <c r="D7" s="15" t="s">
        <v>15</v>
      </c>
      <c r="E7" s="15" t="s">
        <v>29</v>
      </c>
      <c r="F7" s="15" t="s">
        <v>30</v>
      </c>
      <c r="G7" s="15">
        <v>33311</v>
      </c>
      <c r="H7" s="15" t="s">
        <v>18</v>
      </c>
      <c r="I7" s="15" t="s">
        <v>19</v>
      </c>
      <c r="J7" s="15" t="s">
        <v>31</v>
      </c>
      <c r="K7" s="15">
        <v>957.57749999999999</v>
      </c>
      <c r="L7" s="15">
        <v>5</v>
      </c>
      <c r="M7" s="15">
        <v>0.45</v>
      </c>
      <c r="N7" s="16">
        <v>-383.03100000000001</v>
      </c>
    </row>
    <row r="8" spans="1:14" x14ac:dyDescent="0.25">
      <c r="A8">
        <v>5</v>
      </c>
      <c r="B8" s="35" t="s">
        <v>28</v>
      </c>
      <c r="C8" s="36" t="s">
        <v>14</v>
      </c>
      <c r="D8" s="36" t="s">
        <v>15</v>
      </c>
      <c r="E8" s="36" t="s">
        <v>29</v>
      </c>
      <c r="F8" s="36" t="s">
        <v>30</v>
      </c>
      <c r="G8" s="36">
        <v>33311</v>
      </c>
      <c r="H8" s="36" t="s">
        <v>18</v>
      </c>
      <c r="I8" s="36" t="s">
        <v>26</v>
      </c>
      <c r="J8" s="36" t="s">
        <v>32</v>
      </c>
      <c r="K8" s="36">
        <v>22.367999999999999</v>
      </c>
      <c r="L8" s="36">
        <v>2</v>
      </c>
      <c r="M8" s="36">
        <v>0.2</v>
      </c>
      <c r="N8" s="37">
        <v>2.5164</v>
      </c>
    </row>
    <row r="9" spans="1:14" x14ac:dyDescent="0.25">
      <c r="A9">
        <v>6</v>
      </c>
      <c r="B9" t="s">
        <v>28</v>
      </c>
      <c r="C9" t="s">
        <v>14</v>
      </c>
      <c r="D9" t="s">
        <v>15</v>
      </c>
      <c r="E9" t="s">
        <v>29</v>
      </c>
      <c r="F9" t="s">
        <v>30</v>
      </c>
      <c r="G9">
        <v>33311</v>
      </c>
      <c r="H9" t="s">
        <v>18</v>
      </c>
      <c r="I9" t="s">
        <v>19</v>
      </c>
      <c r="J9" t="s">
        <v>31</v>
      </c>
      <c r="K9">
        <v>957.57749999999999</v>
      </c>
      <c r="L9">
        <v>5</v>
      </c>
      <c r="M9">
        <v>0.45</v>
      </c>
      <c r="N9">
        <v>-383.03100000000001</v>
      </c>
    </row>
    <row r="10" spans="1:14" x14ac:dyDescent="0.25">
      <c r="A10">
        <v>7</v>
      </c>
      <c r="B10" s="39" t="s">
        <v>28</v>
      </c>
      <c r="C10" s="39" t="s">
        <v>14</v>
      </c>
      <c r="D10" s="39" t="s">
        <v>15</v>
      </c>
      <c r="E10" s="39" t="s">
        <v>29</v>
      </c>
      <c r="F10" s="39" t="s">
        <v>30</v>
      </c>
      <c r="G10" s="39">
        <v>33311</v>
      </c>
      <c r="H10" s="39" t="s">
        <v>18</v>
      </c>
      <c r="I10" s="39" t="s">
        <v>26</v>
      </c>
      <c r="J10" s="39" t="s">
        <v>32</v>
      </c>
      <c r="K10" s="39">
        <v>22.367999999999999</v>
      </c>
      <c r="L10" s="39">
        <v>2</v>
      </c>
      <c r="M10" s="39">
        <v>0.2</v>
      </c>
      <c r="N10" s="39">
        <v>2.5164</v>
      </c>
    </row>
    <row r="11" spans="1:14" x14ac:dyDescent="0.25">
      <c r="A11">
        <v>8</v>
      </c>
      <c r="B11" t="s">
        <v>28</v>
      </c>
      <c r="C11" t="s">
        <v>14</v>
      </c>
      <c r="D11" t="s">
        <v>15</v>
      </c>
      <c r="E11" t="s">
        <v>29</v>
      </c>
      <c r="F11" t="s">
        <v>30</v>
      </c>
      <c r="G11">
        <v>33311</v>
      </c>
      <c r="H11" t="s">
        <v>18</v>
      </c>
      <c r="I11" t="s">
        <v>19</v>
      </c>
      <c r="J11" t="s">
        <v>31</v>
      </c>
      <c r="K11">
        <v>957.57749999999999</v>
      </c>
      <c r="L11">
        <v>5</v>
      </c>
      <c r="M11">
        <v>0.45</v>
      </c>
      <c r="N11">
        <v>-383.03100000000001</v>
      </c>
    </row>
    <row r="12" spans="1:14" x14ac:dyDescent="0.25">
      <c r="A12">
        <v>9</v>
      </c>
      <c r="B12" s="39" t="s">
        <v>28</v>
      </c>
      <c r="C12" s="39" t="s">
        <v>14</v>
      </c>
      <c r="D12" s="39" t="s">
        <v>15</v>
      </c>
      <c r="E12" s="39" t="s">
        <v>29</v>
      </c>
      <c r="F12" s="39" t="s">
        <v>30</v>
      </c>
      <c r="G12" s="39">
        <v>33311</v>
      </c>
      <c r="H12" s="39" t="s">
        <v>18</v>
      </c>
      <c r="I12" s="39" t="s">
        <v>26</v>
      </c>
      <c r="J12" s="39" t="s">
        <v>32</v>
      </c>
      <c r="K12" s="39">
        <v>22.367999999999999</v>
      </c>
      <c r="L12" s="39">
        <v>2</v>
      </c>
      <c r="M12" s="39">
        <v>0.2</v>
      </c>
      <c r="N12" s="39">
        <v>2.5164</v>
      </c>
    </row>
    <row r="15" spans="1:14" x14ac:dyDescent="0.25">
      <c r="B15" s="45" t="s">
        <v>665</v>
      </c>
    </row>
    <row r="16" spans="1:14" x14ac:dyDescent="0.25">
      <c r="A16" t="s">
        <v>663</v>
      </c>
      <c r="B16" s="21" t="s">
        <v>0</v>
      </c>
      <c r="C16" s="19" t="s">
        <v>1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20" t="s">
        <v>12</v>
      </c>
    </row>
    <row r="17" spans="1:14" x14ac:dyDescent="0.25">
      <c r="A17">
        <v>1</v>
      </c>
      <c r="B17" s="22" t="s">
        <v>13</v>
      </c>
      <c r="C17" s="17" t="s">
        <v>14</v>
      </c>
      <c r="D17" s="17" t="s">
        <v>15</v>
      </c>
      <c r="E17" s="17" t="s">
        <v>16</v>
      </c>
      <c r="F17" s="17" t="s">
        <v>17</v>
      </c>
      <c r="G17" s="17">
        <v>42420</v>
      </c>
      <c r="H17" s="17" t="s">
        <v>18</v>
      </c>
      <c r="I17" s="17" t="s">
        <v>19</v>
      </c>
      <c r="J17" s="17" t="s">
        <v>20</v>
      </c>
      <c r="K17" s="17">
        <v>261.95999999999998</v>
      </c>
      <c r="L17" s="17">
        <v>2</v>
      </c>
      <c r="M17" s="17">
        <v>0</v>
      </c>
      <c r="N17" s="18">
        <v>41.913600000000002</v>
      </c>
    </row>
    <row r="18" spans="1:14" x14ac:dyDescent="0.25">
      <c r="A18">
        <v>2</v>
      </c>
      <c r="B18" s="23" t="s">
        <v>13</v>
      </c>
      <c r="C18" s="15" t="s">
        <v>14</v>
      </c>
      <c r="D18" s="15" t="s">
        <v>15</v>
      </c>
      <c r="E18" s="15" t="s">
        <v>16</v>
      </c>
      <c r="F18" s="15" t="s">
        <v>17</v>
      </c>
      <c r="G18" s="15">
        <v>42420</v>
      </c>
      <c r="H18" s="15" t="s">
        <v>18</v>
      </c>
      <c r="I18" s="15" t="s">
        <v>19</v>
      </c>
      <c r="J18" s="15" t="s">
        <v>21</v>
      </c>
      <c r="K18" s="15">
        <v>731.94</v>
      </c>
      <c r="L18" s="15">
        <v>3</v>
      </c>
      <c r="M18" s="15">
        <v>0</v>
      </c>
      <c r="N18" s="16">
        <v>219.58199999999999</v>
      </c>
    </row>
    <row r="19" spans="1:14" x14ac:dyDescent="0.25">
      <c r="A19">
        <v>3</v>
      </c>
      <c r="B19" s="22" t="s">
        <v>13</v>
      </c>
      <c r="C19" s="17" t="s">
        <v>22</v>
      </c>
      <c r="D19" s="17" t="s">
        <v>15</v>
      </c>
      <c r="E19" s="17" t="s">
        <v>23</v>
      </c>
      <c r="F19" s="17" t="s">
        <v>24</v>
      </c>
      <c r="G19" s="17">
        <v>90036</v>
      </c>
      <c r="H19" s="17" t="s">
        <v>25</v>
      </c>
      <c r="I19" s="17" t="s">
        <v>26</v>
      </c>
      <c r="J19" s="17" t="s">
        <v>27</v>
      </c>
      <c r="K19" s="17">
        <v>14.62</v>
      </c>
      <c r="L19" s="17">
        <v>2</v>
      </c>
      <c r="M19" s="17">
        <v>0</v>
      </c>
      <c r="N19" s="18">
        <v>6.8714000000000004</v>
      </c>
    </row>
    <row r="20" spans="1:14" x14ac:dyDescent="0.25">
      <c r="A20">
        <v>4</v>
      </c>
      <c r="B20" s="23" t="s">
        <v>28</v>
      </c>
      <c r="C20" s="15" t="s">
        <v>14</v>
      </c>
      <c r="D20" s="15" t="s">
        <v>15</v>
      </c>
      <c r="E20" s="15" t="s">
        <v>29</v>
      </c>
      <c r="F20" s="15" t="s">
        <v>30</v>
      </c>
      <c r="G20" s="15">
        <v>33311</v>
      </c>
      <c r="H20" s="15" t="s">
        <v>18</v>
      </c>
      <c r="I20" s="15" t="s">
        <v>19</v>
      </c>
      <c r="J20" s="15" t="s">
        <v>31</v>
      </c>
      <c r="K20" s="15">
        <v>957.57749999999999</v>
      </c>
      <c r="L20" s="15">
        <v>5</v>
      </c>
      <c r="M20" s="15">
        <v>0.45</v>
      </c>
      <c r="N20" s="16">
        <v>-383.03100000000001</v>
      </c>
    </row>
    <row r="21" spans="1:14" x14ac:dyDescent="0.25">
      <c r="A21">
        <v>5</v>
      </c>
      <c r="B21" s="35" t="s">
        <v>28</v>
      </c>
      <c r="C21" s="36" t="s">
        <v>14</v>
      </c>
      <c r="D21" s="36" t="s">
        <v>15</v>
      </c>
      <c r="E21" s="36" t="s">
        <v>29</v>
      </c>
      <c r="F21" s="36" t="s">
        <v>30</v>
      </c>
      <c r="G21" s="36">
        <v>33311</v>
      </c>
      <c r="H21" s="36" t="s">
        <v>18</v>
      </c>
      <c r="I21" s="36" t="s">
        <v>26</v>
      </c>
      <c r="J21" s="36" t="s">
        <v>32</v>
      </c>
      <c r="K21" s="36">
        <v>22.367999999999999</v>
      </c>
      <c r="L21" s="36">
        <v>2</v>
      </c>
      <c r="M21" s="36">
        <v>0.2</v>
      </c>
      <c r="N21" s="37">
        <v>2.5164</v>
      </c>
    </row>
    <row r="23" spans="1:14" x14ac:dyDescent="0.25">
      <c r="A23" s="40" t="s">
        <v>661</v>
      </c>
    </row>
    <row r="27" spans="1:14" x14ac:dyDescent="0.25">
      <c r="B27" s="40"/>
    </row>
  </sheetData>
  <conditionalFormatting sqref="B4:N4">
    <cfRule type="duplicateValues" dxfId="29" priority="2"/>
  </conditionalFormatting>
  <conditionalFormatting sqref="B17:N17">
    <cfRule type="duplicateValues" dxfId="28" priority="1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78"/>
  <sheetViews>
    <sheetView tabSelected="1" workbookViewId="0">
      <selection activeCell="P18" sqref="P18"/>
    </sheetView>
  </sheetViews>
  <sheetFormatPr defaultRowHeight="15" x14ac:dyDescent="0.25"/>
  <cols>
    <col min="1" max="1" width="14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3.7109375" bestFit="1" customWidth="1"/>
    <col min="7" max="7" width="9.42578125" bestFit="1" customWidth="1"/>
    <col min="8" max="8" width="14.5703125" bestFit="1" customWidth="1"/>
    <col min="9" max="9" width="15" customWidth="1"/>
    <col min="11" max="12" width="10.85546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s="33"/>
      <c r="R1" s="34"/>
      <c r="S1" s="34"/>
      <c r="T1" s="34"/>
      <c r="U1" s="11"/>
      <c r="V1" s="11"/>
      <c r="W1" s="11"/>
      <c r="X1" s="11"/>
      <c r="Y1" s="11"/>
      <c r="Z1" s="11"/>
      <c r="AA1" s="11"/>
      <c r="AB1" s="11"/>
      <c r="AC1" s="12"/>
    </row>
    <row r="2" spans="1:2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29" ht="15.7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P3" s="24"/>
      <c r="Q3" s="24"/>
      <c r="R3" s="24"/>
    </row>
    <row r="4" spans="1:29" ht="15.75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P4" s="25"/>
      <c r="Q4" s="26"/>
      <c r="R4" s="26"/>
    </row>
    <row r="5" spans="1:29" ht="15.75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P5" s="25"/>
      <c r="Q5" s="26"/>
      <c r="R5" s="26"/>
    </row>
    <row r="6" spans="1:29" ht="15.75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P6" s="25"/>
      <c r="Q6" s="26"/>
      <c r="R6" s="26"/>
    </row>
    <row r="7" spans="1:29" ht="15.75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P7" s="25"/>
      <c r="Q7" s="26"/>
      <c r="R7" s="26"/>
    </row>
    <row r="8" spans="1:29" ht="15.75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P8" s="25"/>
      <c r="Q8" s="26"/>
      <c r="R8" s="26"/>
    </row>
    <row r="9" spans="1:29" ht="15.75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P9" s="25"/>
      <c r="Q9" s="26"/>
      <c r="R9" s="26"/>
    </row>
    <row r="10" spans="1:29" ht="15.75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P10" s="25"/>
      <c r="Q10" s="26"/>
      <c r="R10" s="26"/>
    </row>
    <row r="11" spans="1:29" ht="15.75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P11" s="25"/>
      <c r="Q11" s="26"/>
      <c r="R11" s="26"/>
    </row>
    <row r="12" spans="1:29" ht="15.75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P12" s="25"/>
      <c r="Q12" s="26"/>
      <c r="R12" s="26"/>
    </row>
    <row r="13" spans="1:29" ht="15.75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P13" s="25"/>
      <c r="Q13" s="26"/>
      <c r="R13" s="26"/>
    </row>
    <row r="14" spans="1:29" ht="15.75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P14" s="25"/>
      <c r="Q14" s="26"/>
      <c r="R14" s="26"/>
    </row>
    <row r="15" spans="1:29" ht="15.75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P15" s="25"/>
      <c r="Q15" s="26"/>
      <c r="R15" s="26"/>
    </row>
    <row r="16" spans="1:29" ht="15.75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P16" s="25"/>
      <c r="Q16" s="26"/>
      <c r="R16" s="26"/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624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624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624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624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624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624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624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624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624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624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624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624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624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624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624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624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624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624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624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624</v>
      </c>
      <c r="F111">
        <v>60462</v>
      </c>
      <c r="G111" t="s">
        <v>47</v>
      </c>
      <c r="H111" t="s">
        <v>624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624</v>
      </c>
      <c r="F112">
        <v>10035</v>
      </c>
      <c r="G112" t="s">
        <v>57</v>
      </c>
      <c r="H112" t="s">
        <v>624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624</v>
      </c>
      <c r="F113">
        <v>50322</v>
      </c>
      <c r="G113" t="s">
        <v>47</v>
      </c>
      <c r="H113" t="s">
        <v>624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624</v>
      </c>
      <c r="F114">
        <v>50322</v>
      </c>
      <c r="G114" t="s">
        <v>47</v>
      </c>
      <c r="H114" t="s">
        <v>624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624</v>
      </c>
      <c r="F115">
        <v>43229</v>
      </c>
      <c r="G115" t="s">
        <v>57</v>
      </c>
      <c r="H115" t="s">
        <v>624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624</v>
      </c>
      <c r="F116">
        <v>43229</v>
      </c>
      <c r="G116" t="s">
        <v>57</v>
      </c>
      <c r="H116" t="s">
        <v>624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624</v>
      </c>
      <c r="F117">
        <v>43229</v>
      </c>
      <c r="G117" t="s">
        <v>57</v>
      </c>
      <c r="H117" t="s">
        <v>624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624</v>
      </c>
      <c r="F118">
        <v>43229</v>
      </c>
      <c r="G118" t="s">
        <v>57</v>
      </c>
      <c r="H118" t="s">
        <v>624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624</v>
      </c>
      <c r="F119">
        <v>98103</v>
      </c>
      <c r="G119" t="s">
        <v>25</v>
      </c>
      <c r="H119" t="s">
        <v>624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624</v>
      </c>
      <c r="F120">
        <v>37620</v>
      </c>
      <c r="G120" t="s">
        <v>18</v>
      </c>
      <c r="H120" t="s">
        <v>624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624</v>
      </c>
      <c r="F121">
        <v>19805</v>
      </c>
      <c r="G121" t="s">
        <v>57</v>
      </c>
      <c r="H121" t="s">
        <v>624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624</v>
      </c>
      <c r="F122">
        <v>19805</v>
      </c>
      <c r="G122" t="s">
        <v>57</v>
      </c>
      <c r="H122" t="s">
        <v>624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624</v>
      </c>
      <c r="F123">
        <v>19805</v>
      </c>
      <c r="G123" t="s">
        <v>57</v>
      </c>
      <c r="H123" t="s">
        <v>624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624</v>
      </c>
      <c r="F124">
        <v>19805</v>
      </c>
      <c r="G124" t="s">
        <v>57</v>
      </c>
      <c r="H124" t="s">
        <v>624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624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624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624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624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624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624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624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624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624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624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624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624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624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624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624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624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624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624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B143" t="s">
        <v>22</v>
      </c>
      <c r="C143" t="s">
        <v>15</v>
      </c>
      <c r="D143" t="s">
        <v>52</v>
      </c>
      <c r="E143" t="s">
        <v>624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624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624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624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624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624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624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624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624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624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624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624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624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624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624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624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624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624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624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624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624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624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624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624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624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624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624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624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624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624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624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624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624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624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624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624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624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624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624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624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624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624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624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624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624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624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624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624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624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624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B193" t="s">
        <v>44</v>
      </c>
      <c r="C193" t="s">
        <v>15</v>
      </c>
      <c r="D193" t="s">
        <v>75</v>
      </c>
      <c r="E193" t="s">
        <v>624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624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624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624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624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624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624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624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624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624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624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624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624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624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624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624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624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624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624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624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624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624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624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624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624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624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624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624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624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624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624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624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624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2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2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2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2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2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2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2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2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2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2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2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2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2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2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2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2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2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2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2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2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2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2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2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2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2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2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2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2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2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2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2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2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2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2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2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2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2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2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2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2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2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2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2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2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2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2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2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2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2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2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2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2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2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2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2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2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2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2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2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2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2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2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2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2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2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2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2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2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2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2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2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2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2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2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2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2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2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2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2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2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2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2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2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2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2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2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2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2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2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2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2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2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2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2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2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2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2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2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2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2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2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2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2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2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2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2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2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2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2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2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2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2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2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2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2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2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2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2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2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2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2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2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2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2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2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2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2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2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2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2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2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2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2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2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2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2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2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2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2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2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2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2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2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2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2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2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2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2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2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2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2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2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2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2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2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2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2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2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2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2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2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2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2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2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2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2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2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2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2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2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2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2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2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2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2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2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2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2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2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2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2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2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2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2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2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2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2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2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2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2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2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2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2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2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2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2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2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2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2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2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2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2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2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2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2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2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2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2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2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2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2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2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2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2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2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2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2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2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2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2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2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2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2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2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2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2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2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2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2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2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2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2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2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2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2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2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2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2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2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2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2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2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2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2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2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2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2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2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2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2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2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2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2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2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2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2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2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2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2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2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2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2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2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2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2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2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2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2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2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2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2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2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2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2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2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2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2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2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2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2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2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2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2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2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2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2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2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2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2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2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2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2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2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2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2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2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2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2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2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2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2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2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2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2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2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2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2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2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2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2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2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2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2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2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2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2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2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2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2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2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2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2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2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2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2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2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2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2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2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2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2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2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2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2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2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2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2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2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2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2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2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2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2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2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2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2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2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2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2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2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2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2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2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2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2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2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2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2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2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2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2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2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2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2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2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2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2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2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2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2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2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2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2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2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2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2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2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2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2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2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2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2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2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2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2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2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2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2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2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2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2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2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2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2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2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2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2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2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2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2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2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2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2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2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2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2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2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2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2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2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2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2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2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2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2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2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2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2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2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2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2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2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2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2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2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2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2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2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2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2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2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2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2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2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2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2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2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2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2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2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2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2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2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2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2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2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2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2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2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2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2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2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2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2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2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2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2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2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2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2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2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2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2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2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2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2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2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2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2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2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2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2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2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2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2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2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2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2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2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2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2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2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2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2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2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2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2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2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2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2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2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2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2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2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2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2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2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2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2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2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2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2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2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2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2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2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2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2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2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2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2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2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2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2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2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2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2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2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2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2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2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2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2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2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2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2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2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2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2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2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2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2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2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2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2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2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2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2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2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2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2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2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2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2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2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2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2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2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2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2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2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2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2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2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2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2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2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2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2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2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2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2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2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2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2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2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2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2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2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2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2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2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2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2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2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2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2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2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2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2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2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2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2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2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2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2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2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2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2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2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2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2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2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2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2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2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2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2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2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2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2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2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2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2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2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2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2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2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2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2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2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2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2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2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2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2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2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2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2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2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2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2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2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2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2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2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2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2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2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2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2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2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2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2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2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2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2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2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2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2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2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2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2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2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2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2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2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2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2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2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2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2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2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2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2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2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2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2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2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2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2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2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2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2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2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2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2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2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2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2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2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2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2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2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2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2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2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2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2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2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2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2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2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2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2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2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2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2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2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2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2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2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2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2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2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2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2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2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2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2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2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2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2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2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2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2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2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2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2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2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2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2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2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2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2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2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2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2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2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2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2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2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2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2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2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2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2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2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2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2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2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2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2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2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2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2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2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2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2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2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2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2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2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2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2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2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2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2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2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2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2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2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2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2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2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2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2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2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2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2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2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2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2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2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2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2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2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2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2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2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2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2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2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2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2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2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2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2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2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2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2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2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2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2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2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2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2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2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2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2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2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2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2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2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2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2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2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2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2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2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2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2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2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2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2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2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2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2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2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2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2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2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2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2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2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2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2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2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2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2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2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2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2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2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2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2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2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2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2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2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2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2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2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2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2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2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2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2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2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2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2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2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2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2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2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2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2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2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2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2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2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2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2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2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2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2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2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2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2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2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2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2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2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2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2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2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2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2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2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2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2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2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2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2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2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2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2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2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2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2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2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2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2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2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2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2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2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2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2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2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2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2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2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2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2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2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2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2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2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2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2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2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2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2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2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2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2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2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2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2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2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2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2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2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2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2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2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2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2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2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2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2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2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2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2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2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2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2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2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2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2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2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2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2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2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2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2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2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2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2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2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2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2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2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2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2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2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2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2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2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2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2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2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2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2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2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2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2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2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2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2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2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2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2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2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2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2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2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2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2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2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2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2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2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2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2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2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2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2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2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2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2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2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2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2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2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2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2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2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2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2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2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2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2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2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2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2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2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2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2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2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2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2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2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2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2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2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2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2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2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2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2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2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2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2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2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2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2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2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2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2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2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2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2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2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2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2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2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2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2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2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2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2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2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2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2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2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2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2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2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2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2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2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2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2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2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2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2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2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2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2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2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2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2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2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2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2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2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2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2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2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2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2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2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2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2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2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2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2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2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2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2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2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2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2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2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2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2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2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2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2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2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2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2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2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2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2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2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2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2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2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2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2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2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2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2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2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2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2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2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2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2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2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2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2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2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2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2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2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2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2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2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2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2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2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2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2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2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2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2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2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2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2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2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2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2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2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2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2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2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2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2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2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2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2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2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2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2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2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2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2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2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2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2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2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2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2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2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2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2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2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2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2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2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2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2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2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2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2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2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2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2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2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2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2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2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2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2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2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2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2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2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2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2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2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2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2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2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2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2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2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2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2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2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2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2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2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2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2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2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2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2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2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2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2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2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2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2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2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2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2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2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2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2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2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2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2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2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2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2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2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2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2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2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2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2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2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2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2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2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2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2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2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2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2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2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2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2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2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2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2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2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2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2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2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2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2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2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2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2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2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2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2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2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2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2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2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2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2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2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2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2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2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2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2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2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2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2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2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2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2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2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2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2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2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2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2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2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2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2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2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2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2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2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2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2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2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2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2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2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2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2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2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2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2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2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2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2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2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2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2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2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2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2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2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2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2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2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2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2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2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2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2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2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2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2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2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2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2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2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2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2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2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2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2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2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2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2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2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2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2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2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2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2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2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2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2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2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2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2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2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2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2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2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2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2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2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2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2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2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2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2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2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2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2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2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2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2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2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2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2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2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2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2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2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2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2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2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2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2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2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2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2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2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2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2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2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2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2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2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2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2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2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2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2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2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2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2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2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2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2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2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2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2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2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2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2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2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2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2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2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2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2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2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2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2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2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2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2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2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2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2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2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2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2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2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2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2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2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2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2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2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2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2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2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2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2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2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2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2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2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2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2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2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2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2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2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2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2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2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2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2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2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2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2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2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2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2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2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2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2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2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2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2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2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2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2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2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2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2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2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2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2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2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2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2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2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2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2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2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2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2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2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2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2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2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2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2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2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2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2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2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2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2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2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2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2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2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2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2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2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2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2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2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2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2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2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2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2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25"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2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2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2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25"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25"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2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2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2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2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2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2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2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2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2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2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2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2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2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2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2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2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2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2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2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2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2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2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2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2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2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2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2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2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2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2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2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2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2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2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2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2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2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2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2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2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2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2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2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2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2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2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2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2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2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2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2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2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2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2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2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2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2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2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2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2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2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2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2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2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2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2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2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2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2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2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2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2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2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2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2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2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2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2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2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2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2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2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2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2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2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2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2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2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2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2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2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2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2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2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2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2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2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2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2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2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2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2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2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2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2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2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2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2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2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2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2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2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2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2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2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2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2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2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2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2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2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2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2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2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2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2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2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2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2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2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2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2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2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2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2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2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2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2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2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2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2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2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2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2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2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2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2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2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2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2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2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2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2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2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2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2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2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2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2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2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2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2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2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2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2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2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2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2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2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2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2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2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2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2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2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2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2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2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2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2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2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2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2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2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2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2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2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2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2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2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2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2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2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2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2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2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2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2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2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2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2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2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2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2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2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2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2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2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2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2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2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2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2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2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2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2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2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2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2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2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2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2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2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2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2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2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2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2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2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2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2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2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2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2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2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2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2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2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2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2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2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2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2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2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2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2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2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2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2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2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2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2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2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2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2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2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2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2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2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2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2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2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2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2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2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2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2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2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2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2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2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2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2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2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2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2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2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2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2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2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2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2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2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2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2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2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2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2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2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2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2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2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2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2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2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2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2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2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2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2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2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2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2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2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2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2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2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2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2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2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2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2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2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2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2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2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2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2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2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2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2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2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2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2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2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2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2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2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2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2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2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2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2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2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2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2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2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2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2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2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2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2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2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2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2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2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2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2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2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2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2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2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2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2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2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2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2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2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2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2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2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2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2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2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2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2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2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2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2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2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2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2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2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2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2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2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2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2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2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2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2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2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2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2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2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2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2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2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2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2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2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2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2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2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2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2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2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2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2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2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2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2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2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2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2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2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2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2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2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2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2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2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2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2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2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2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2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2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2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2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2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2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2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2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2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2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2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2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2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2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2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2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2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2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2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2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2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2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2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2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2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2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2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2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2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2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2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2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2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2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2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2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2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2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2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2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2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2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2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2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2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2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2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2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2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2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2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2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2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2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2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2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2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2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2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2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2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2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2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2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2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2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2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2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2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2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2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2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2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2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2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2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2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2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2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2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2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2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2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2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2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2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2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2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2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2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2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2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2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2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2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2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2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2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2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2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2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2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2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2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2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2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2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2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2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2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2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2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2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2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2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2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2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2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2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2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2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2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2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2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2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2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2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2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2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2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2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2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2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2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2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2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2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2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2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2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2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2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2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2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2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2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2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2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2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2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2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2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2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2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2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2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2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2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2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2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2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2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2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2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2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2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2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2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2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2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2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2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2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2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2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2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2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2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2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2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2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2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2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2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2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2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2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2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2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2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2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2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2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2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2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2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2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2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2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2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2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2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2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2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2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2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2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2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2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2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2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2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2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2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2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2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2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2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2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2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2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2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2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2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2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2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2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2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2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2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2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2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2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2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2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2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2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2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2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2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2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2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2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2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2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2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2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2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2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2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2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2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2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2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2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2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2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2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2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2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2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2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2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2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2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2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2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2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2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2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2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2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2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2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2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2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2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2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2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2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2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2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2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2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2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2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2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2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2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2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2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2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2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2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2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2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2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2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2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2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2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2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2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2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2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2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2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2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2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2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2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2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2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2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2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2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2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2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2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2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2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2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2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2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2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2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2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2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2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2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2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2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2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2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2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2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2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2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2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2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2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2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2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2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2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2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2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2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2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2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2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2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2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2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2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2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2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2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2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2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2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2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2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2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2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2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2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2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2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2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2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2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2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2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2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2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2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2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2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2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2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2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2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2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2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2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2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2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2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2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2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2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2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2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2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2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2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2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2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2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2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2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2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2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2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2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2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2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2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2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2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2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2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2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2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2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2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2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2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2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2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2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2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2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2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2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2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2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2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2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2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2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2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2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2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2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2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2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2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2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2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2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2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2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2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2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2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2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2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2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2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2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2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2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2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2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2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2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2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2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2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2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2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2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2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2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2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2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2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2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2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2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2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2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2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2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2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2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2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2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2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2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2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2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2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2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2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2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2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2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2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2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2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2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2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2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2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2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2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2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2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2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2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2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2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2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2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2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2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2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2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2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2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2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2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2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2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2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2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2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2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2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2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2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2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2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2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2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2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2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2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2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2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2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2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2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2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2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2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2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2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2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2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2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2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2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2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2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2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2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2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2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2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2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2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2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2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2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2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2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2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2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2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2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2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2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2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2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2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2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2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2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2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2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2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2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2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2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2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2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2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2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2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2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2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2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2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2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2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2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2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2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2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2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2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2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2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2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2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2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2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2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2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2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2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2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2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2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2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25"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25"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2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2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2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2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2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2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2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2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2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2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2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2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2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2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2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2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2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2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2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2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2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2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2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2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2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2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2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2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2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2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2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2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2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2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2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2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2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2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2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2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2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2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2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2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2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2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2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2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2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2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2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2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2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2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2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2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2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2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2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2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2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2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2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2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2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2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2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2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2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2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2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2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2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2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2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2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2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2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2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2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2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2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2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2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2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2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2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2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2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2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2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2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2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2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2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2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2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2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2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2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2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2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2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2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2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2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2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2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2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2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2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2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2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2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2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2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2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2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2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2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2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2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2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2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2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2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2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2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2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2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2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2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2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2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2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2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2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2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2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2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2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2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2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2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2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2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2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2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2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2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2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2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2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2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2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2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2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2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2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2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2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2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2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2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2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2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2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2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2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2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2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2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2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2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2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2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2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2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2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2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2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2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2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2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2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2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2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2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2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2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2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2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2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2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2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2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2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2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2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2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2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2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2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2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2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2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2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2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2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2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2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2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2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2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2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2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2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2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2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2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2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2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2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2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2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2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2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2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2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2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2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2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2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2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2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2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2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2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2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2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2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2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2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2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2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2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2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2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2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2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2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2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2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2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2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2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2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2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2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2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2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2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2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2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2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2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2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2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2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2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2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2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2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2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2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2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2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2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2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2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2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2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2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2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2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2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2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2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2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2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2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2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2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2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2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2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2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2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2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2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2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2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2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2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2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2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2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2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2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2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2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2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2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2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2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2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2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2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2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2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2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2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2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2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2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2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2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2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2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2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2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2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2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2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2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2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2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2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2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2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2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2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2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2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2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2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2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2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2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2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2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2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2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2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2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2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2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2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2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2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2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2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2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2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2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2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2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2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2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2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2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2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2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2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2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2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2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2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2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2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2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2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2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2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2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2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2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2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2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2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2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2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2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2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2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2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2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2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2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2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2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2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2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2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2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2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2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2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2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2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2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2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2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2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2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2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2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2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2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2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2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2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2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2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2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2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2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2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2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2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2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2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2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2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2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2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2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2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2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2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2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2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2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2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2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2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2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2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2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2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2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2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2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2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2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2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2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2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2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2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2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2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2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2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2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2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2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2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2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2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2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2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2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2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2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2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2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2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2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2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2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2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2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2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2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2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2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2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2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2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2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2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2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2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2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2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2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2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2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2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2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2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2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2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2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2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2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2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2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2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2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2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2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2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2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2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2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2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2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2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2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2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2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2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2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2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2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2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2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2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2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2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2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2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2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2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2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2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2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2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2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2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2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2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2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2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2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2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2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2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2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2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2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2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2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2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2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2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2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2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2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2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25">
      <c r="A6042" t="s">
        <v>28</v>
      </c>
      <c r="B6042" t="s">
        <v>44</v>
      </c>
      <c r="C6042" t="s">
        <v>15</v>
      </c>
      <c r="D6042" t="s">
        <v>93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180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25">
      <c r="A6044" t="s">
        <v>28</v>
      </c>
      <c r="B6044" t="s">
        <v>22</v>
      </c>
      <c r="C6044" t="s">
        <v>15</v>
      </c>
      <c r="D6044" t="s">
        <v>180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2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2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2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25"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2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25"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2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2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2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2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2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2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2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2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2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2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2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2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2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2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2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2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2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2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2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2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2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2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2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2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2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2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2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2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2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2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2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2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2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2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2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2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2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2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2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2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2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2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2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2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2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2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2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2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2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2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2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2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2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2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2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2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2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2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2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2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2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2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2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2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2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2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2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2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2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2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2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2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2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2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2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2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2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2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2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2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2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2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2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2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2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2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2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2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2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2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2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2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2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2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2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2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2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2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2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2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2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2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2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2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2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2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2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2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2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2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2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2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2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2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2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2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2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2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2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2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2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2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2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2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2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2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2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2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2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2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2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2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2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2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2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2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2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2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2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2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2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2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2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2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2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2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2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2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2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2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2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2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2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2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2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2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2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2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2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2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2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2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2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2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2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2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2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2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2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2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2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2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2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2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2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2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2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2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2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2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2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2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2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2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2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2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2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2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2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2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2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2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2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2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2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2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2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2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2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2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2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2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2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2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2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2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2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2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2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2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2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2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2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2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2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2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2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2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2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2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2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2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2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2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2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2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2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2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2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2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2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2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2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2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2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2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2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2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2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2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2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2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2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2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2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2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2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2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2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2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2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2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2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2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2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2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2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2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2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2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2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2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2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2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2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2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2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2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2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2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2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2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2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2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2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2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2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2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2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2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2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2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2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2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2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2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2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2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2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2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2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2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2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2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2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2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2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2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2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2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2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2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2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2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2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2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2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2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2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2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2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2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2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2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2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2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2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2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2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2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2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2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2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2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2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2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2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2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2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2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2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2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2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2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2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2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2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2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2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2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2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2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2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2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2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2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2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2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2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2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2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2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2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2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2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2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2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2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2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2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2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2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2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2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2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2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2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2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2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2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2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2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2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2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2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2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2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2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2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2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2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2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2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2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2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2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2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2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2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2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2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2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2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2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2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2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2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2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2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2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2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2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2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2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2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2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2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2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2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2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2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2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2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2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2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2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2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2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2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2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2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2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2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2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2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2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2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2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2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2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2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2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2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2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2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2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2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2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2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2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2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2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2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2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2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2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2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2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2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2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2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2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2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2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2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2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2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2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2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2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2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2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2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2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2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2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2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2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2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2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2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2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2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2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2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2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2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2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2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2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2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2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2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2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2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2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2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2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2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2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2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2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2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2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2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2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2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2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2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2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2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2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2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2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2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2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2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2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2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2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2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2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2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2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2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2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2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2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2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2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2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2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2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2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2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2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2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2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2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2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2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2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2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2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2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2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2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2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2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2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2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2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2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2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2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2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2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2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2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2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2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2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2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2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2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2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2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2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2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2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2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2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2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2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2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2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2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2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2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2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2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2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2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2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2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2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2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2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2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2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2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2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2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2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2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2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2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2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2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2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2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2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2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2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2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2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2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2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2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2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2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2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2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2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2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2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2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2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2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2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2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2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2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2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2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2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2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2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2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2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2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2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2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2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2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2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2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2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2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2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2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2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2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2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2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2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2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2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2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2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2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2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2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2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2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2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2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2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2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2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2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2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2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2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2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2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2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2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2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2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2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2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2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2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2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2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2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2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2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2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2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2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2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2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2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2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2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2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2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2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2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2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2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2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2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2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2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2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2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2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2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2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2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2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2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2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2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2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2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2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2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2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2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2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2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2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2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2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2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2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2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2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2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2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2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2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2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2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2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2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2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2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2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2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2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2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2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2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2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2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2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2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2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2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2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2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2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2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2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2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2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2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2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2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2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2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2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2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2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2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2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2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2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2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2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2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2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2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2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2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2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2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2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2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2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2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2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2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2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2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2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2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2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2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2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2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2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2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2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2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2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2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2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2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2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2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2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2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2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2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2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2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2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2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2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2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2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2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2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2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2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2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2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2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2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2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2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2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2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2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2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2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2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2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2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2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2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2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2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2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2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2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2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2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2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2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2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2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2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2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2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2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2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2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2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2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2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2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2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2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2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2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2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2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2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2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2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2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2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2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2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2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2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2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2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2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2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2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2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2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2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2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2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2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2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2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2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2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2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2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2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2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2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2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2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2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2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2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2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2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2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2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2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2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2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2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2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2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2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2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2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2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2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2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2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2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2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2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2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2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2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2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2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2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2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2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2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2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2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2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2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2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2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2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2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2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2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2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2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2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2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2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2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2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2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2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2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2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2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2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2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2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2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2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2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2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2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2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2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2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2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2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2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2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2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2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2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2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2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2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2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2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2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2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2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2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2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2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2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2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2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2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2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2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2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2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2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2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2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2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2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2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2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2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2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2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2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2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2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2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2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2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2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2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2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2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2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2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2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2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2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2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2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2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2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2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2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2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2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2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2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2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2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2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2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2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2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2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2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2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2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2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2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2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2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2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2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2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2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2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2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2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2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2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2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2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2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2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2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2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2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2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2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2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2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2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2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2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2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2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2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2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2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2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2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2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2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2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2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2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2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2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2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2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2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2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2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2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2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2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2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2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2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2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2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2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2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2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2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2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2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2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2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2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2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2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2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2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2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2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2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2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2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2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2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2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2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2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2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2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2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2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2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2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2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2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2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2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2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2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2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2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2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2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2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2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2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2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2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2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2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2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2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2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2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2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2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2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2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2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2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2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2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2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2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2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2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2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2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2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2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2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2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2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2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2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2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2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2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2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2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2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2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2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2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2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2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2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2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2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2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2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2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2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2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2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2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2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2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2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2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2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2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2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2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2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2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2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2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2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2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2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2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2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2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2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2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2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2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2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2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2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2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2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2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2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2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2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2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2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2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2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2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2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2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2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2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2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2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2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2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2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2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2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2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2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2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2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2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2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2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2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2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2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2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2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2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2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2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2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2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2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2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2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2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2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2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2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2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2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2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2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2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2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2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2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2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2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2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2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2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2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2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2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2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2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2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2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2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2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2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2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2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2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2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2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2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2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2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2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2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2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2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2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2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2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2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2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2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2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2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2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2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2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2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2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2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2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2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2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2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2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2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2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2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2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2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2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2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2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2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2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2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2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2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2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2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2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2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2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2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2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2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2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2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2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2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2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2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2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2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2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2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2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2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2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2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2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2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2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2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2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2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2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2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2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2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2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2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2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2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2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2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2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2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2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2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2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2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2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2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2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2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2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2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2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2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2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2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2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2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2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2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2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2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2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2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2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2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2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2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2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2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2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2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2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2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2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2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2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2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2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2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2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2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2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2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2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2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2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2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2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2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2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2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2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2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2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2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2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2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2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2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2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2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2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2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2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2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2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2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2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2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2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2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2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2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2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2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2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2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2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2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2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2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2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2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2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2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2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2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2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2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2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2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2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2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2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2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2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2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2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2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2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2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2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2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2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2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2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2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2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2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2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2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2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2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2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2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2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2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2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2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2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2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2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2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2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2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2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2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2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2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2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2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2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2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2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2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2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2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2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2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2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2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2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2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2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2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2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2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2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2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2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2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2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2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2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2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2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2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2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2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2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2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2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2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2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2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2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2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2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2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2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2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2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2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2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2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2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2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2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2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2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2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2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2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2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2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2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2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2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2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2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2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2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2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2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2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2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2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2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2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2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2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2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2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2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2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2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2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2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2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2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2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2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2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2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2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2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2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2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2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2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2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2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2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2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2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2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2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2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2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2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2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2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2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2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2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2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2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2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2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2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2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2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2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2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2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2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2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2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2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2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2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2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2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2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2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2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2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2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2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2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2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2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2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2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2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2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2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2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2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2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2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2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2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2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2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2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2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2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2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2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2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2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2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2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2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2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2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2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2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2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2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2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2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2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2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2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2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2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2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2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2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2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2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2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2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2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2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2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2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2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2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2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2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2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2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2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2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2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2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2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2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2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2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2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2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2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2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2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2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2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2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2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2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2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2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2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2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2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2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2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2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2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2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2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2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2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2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2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2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2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2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2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2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2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2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2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2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2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2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2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2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2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2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2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2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2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2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2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2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2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2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2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2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2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2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2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2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2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2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2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2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2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2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2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2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2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2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2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2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2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2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2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2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2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2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2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2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2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2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2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2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2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2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2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2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2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2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2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2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2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2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2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2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2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2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2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2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2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2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2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2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2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2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2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2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2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2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2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2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2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2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2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2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2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2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2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2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2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2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2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2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2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2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2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2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2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2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2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2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2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2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2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2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2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2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2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2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2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2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2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2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2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2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2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2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2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2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2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2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2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2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2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2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2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2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2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2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2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2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2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2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2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2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2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2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2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2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2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2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2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2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2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2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2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2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2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2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2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2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2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2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2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2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2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2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2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2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2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2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2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2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2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2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2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2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2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2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2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2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2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2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2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2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2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2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2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2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2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2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2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2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2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2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2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2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2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2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2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2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2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2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2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2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2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2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2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2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2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2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2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2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2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2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2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2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2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2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2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2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2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2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2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2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2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2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2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2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2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2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2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2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2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2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2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2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2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2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2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2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2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2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2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2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2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2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2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2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2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2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2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2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2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2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2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2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2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2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2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2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2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2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2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2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2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2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2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2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2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2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2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2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2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2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2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2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2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2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2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2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2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2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2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2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2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2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2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2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2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2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2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2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2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2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2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2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2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2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2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2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2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2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2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2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2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2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2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2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2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2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2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2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2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2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2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2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2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2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2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2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2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2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2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2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2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2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2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2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2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2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2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2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2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2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2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2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2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2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2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2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2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2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2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2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2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2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2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2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2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2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2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2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2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2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2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2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2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2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2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2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2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2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2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2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2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2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2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2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2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2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2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2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2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2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2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2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2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2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2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2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2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2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2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2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2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2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2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2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2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2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2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2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2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2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2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2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2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2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2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2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2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2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2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2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2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2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2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2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2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2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2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2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2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2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2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2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2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2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2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2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2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2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2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2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2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2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2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2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2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2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2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2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2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2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2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2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2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2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2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2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2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2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2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2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2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2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2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2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2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2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2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2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2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2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2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2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2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2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2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2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2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2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2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2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2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2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2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2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2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2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2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2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2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2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2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2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2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2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2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2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2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2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2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2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2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2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2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2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2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2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2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2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2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2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2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2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2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2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2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2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2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2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2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2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2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2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2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2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2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2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2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2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2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2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2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2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2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2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2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2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2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2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2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2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2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2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2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2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2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2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2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2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2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2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2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2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2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2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2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2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2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2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2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2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2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2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2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2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2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2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2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2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2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2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2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2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2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2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2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2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2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2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2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2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2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2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2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2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2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2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2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2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2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2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2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25">
      <c r="A8801" t="s">
        <v>28</v>
      </c>
      <c r="B8801" t="s">
        <v>22</v>
      </c>
      <c r="C8801" t="s">
        <v>15</v>
      </c>
      <c r="D8801" t="s">
        <v>305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25">
      <c r="A8802" t="s">
        <v>13</v>
      </c>
      <c r="B8802" t="s">
        <v>14</v>
      </c>
      <c r="C8802" t="s">
        <v>15</v>
      </c>
      <c r="D8802" t="s">
        <v>106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25">
      <c r="A8803" t="s">
        <v>13</v>
      </c>
      <c r="B8803" t="s">
        <v>14</v>
      </c>
      <c r="C8803" t="s">
        <v>15</v>
      </c>
      <c r="D8803" t="s">
        <v>106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25">
      <c r="A8804" t="s">
        <v>13</v>
      </c>
      <c r="B8804" t="s">
        <v>14</v>
      </c>
      <c r="C8804" t="s">
        <v>15</v>
      </c>
      <c r="D8804" t="s">
        <v>106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25">
      <c r="A8805" t="s">
        <v>13</v>
      </c>
      <c r="B8805" t="s">
        <v>14</v>
      </c>
      <c r="C8805" t="s">
        <v>15</v>
      </c>
      <c r="D8805" t="s">
        <v>106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25">
      <c r="A8806" t="s">
        <v>13</v>
      </c>
      <c r="B8806" t="s">
        <v>14</v>
      </c>
      <c r="C8806" t="s">
        <v>15</v>
      </c>
      <c r="D8806" t="s">
        <v>106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2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2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2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2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2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2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2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2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2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2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2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2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2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2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2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2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2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2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2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2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2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2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2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2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2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2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2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2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2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2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2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2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2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2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25">
      <c r="A8849" t="s">
        <v>28</v>
      </c>
      <c r="B8849" t="s">
        <v>44</v>
      </c>
      <c r="C8849" t="s">
        <v>15</v>
      </c>
      <c r="D8849" t="s">
        <v>353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2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2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2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2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2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2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2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2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2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2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2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2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2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2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2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2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2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2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2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2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2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2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2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2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2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2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2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2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2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2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2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2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2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2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2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2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2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2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2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2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2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2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2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2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2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2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2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2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2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2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2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2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2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2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2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2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2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2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2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2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2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2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2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2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2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2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2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2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2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2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2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2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2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2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2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2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2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2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2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2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2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2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2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2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2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2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2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2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2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2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2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2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2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2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2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2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2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2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2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2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2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2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2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2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2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2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2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2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2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2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2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2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2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2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2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2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2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2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2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2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2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2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2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2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2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2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2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2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2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2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2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2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2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2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2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2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2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2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2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2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2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2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2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2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2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2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2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2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2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2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2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2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2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2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2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2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2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2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2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2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2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2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2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2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2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2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2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2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2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2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2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2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2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2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2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2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2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2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2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2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2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2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2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2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2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2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2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2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2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2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2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2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2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2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2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2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2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2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2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2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2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2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2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2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2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2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2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2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2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2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2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2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2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2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2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2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2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2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2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2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2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2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2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2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2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2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2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2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2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2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2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2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2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2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2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2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2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2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2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2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2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2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2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2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2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2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2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2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2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2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2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2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2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2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2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2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2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2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2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2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2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2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2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2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2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2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2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2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2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2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2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2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2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2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2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2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2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2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2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2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2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2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2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2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2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2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2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2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2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2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2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2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2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2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2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2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2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2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2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2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2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2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2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2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2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2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2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2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2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2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2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2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2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2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2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2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2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2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2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2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2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2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2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2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2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2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2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2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2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2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2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2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2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2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2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2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2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2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2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2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2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2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2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2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2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2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2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2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2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2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2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2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2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2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2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2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2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2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2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2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2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2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2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2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2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2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2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2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2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2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2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2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2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2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2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2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2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2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2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2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2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2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2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2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2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2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2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2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2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2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2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2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2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2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2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2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2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2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2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2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2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2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2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2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2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2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2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2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2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2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2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2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2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2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2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2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2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2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2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2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2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2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2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2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2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2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2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2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2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2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2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2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2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2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2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2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2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2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2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2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2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2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2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2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2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2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2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2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2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2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2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2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2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2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2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2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2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2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2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2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2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2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2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2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2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2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2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2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2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2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2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2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2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2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2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2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2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2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2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2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2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2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2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2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2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2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2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2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2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2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2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2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2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2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2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2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2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2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2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2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2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2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2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2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2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2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2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2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2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2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2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2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2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2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2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2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2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2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2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2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2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2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2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2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2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2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2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2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2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2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2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2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2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2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2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2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2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2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2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2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2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2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2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2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2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2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2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2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2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2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2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2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2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2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2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2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2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2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2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2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2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2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2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2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2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2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2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2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2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2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2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2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2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2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2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2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2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2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2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2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2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2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2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2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2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2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2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2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2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2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2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2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2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2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2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2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2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2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2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2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2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2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2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2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2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2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2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2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2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2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2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2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2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2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2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2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2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2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2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2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2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2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2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2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2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2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2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2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2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2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2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2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2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2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2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2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2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2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2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2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2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2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2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2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2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2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2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2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2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2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2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2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2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2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2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2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2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2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2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2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2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2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2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2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2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2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2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2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2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2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2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2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2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2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2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2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2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2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2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2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2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2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2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2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2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2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2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2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2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2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2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2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2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2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2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2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2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2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2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2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2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2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2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2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2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2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2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2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2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2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2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2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2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2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2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2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2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2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2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2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2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2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2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2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2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2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2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2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2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2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2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2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2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2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2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2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2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2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2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2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2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2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2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2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2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2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2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2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2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2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2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2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2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2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2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2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2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2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2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2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2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2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2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2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2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2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2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2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2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2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2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2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2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2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2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2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2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2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2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2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2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2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2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2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2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2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2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2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2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2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2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2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2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2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2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2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2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2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2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2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2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2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2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2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2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2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2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2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2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2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2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2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2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2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2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2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2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2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2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2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2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2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2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2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2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2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2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2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2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2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2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2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2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2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2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2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2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2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2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2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2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2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2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2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2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2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2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2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2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2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2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2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2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2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2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2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2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2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2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2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2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2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2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2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2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2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2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2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2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2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2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2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2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2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2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2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2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2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2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2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2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2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2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2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2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2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2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2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2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2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2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2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2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2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2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2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2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2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2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2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2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2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2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2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2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2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2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2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2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2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2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2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2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2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2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2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2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2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2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2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2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2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2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2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2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2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2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2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2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2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2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2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2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2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2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2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2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2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2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2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2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2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2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2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2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2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2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2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2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A0FA2-FA15-49B8-998C-D05B0CBFE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superstore_report</vt:lpstr>
      <vt:lpstr>DatasetSize</vt:lpstr>
      <vt:lpstr>Missing value</vt:lpstr>
      <vt:lpstr>Duplicate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2026-09-10T05:13:59Z</dcterms:created>
  <dcterms:modified xsi:type="dcterms:W3CDTF">2026-10-16T14:27:45Z</dcterms:modified>
</cp:coreProperties>
</file>